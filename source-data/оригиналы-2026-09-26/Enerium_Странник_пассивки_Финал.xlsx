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nerium.Life\Downloads\Таблицы\"/>
    </mc:Choice>
  </mc:AlternateContent>
  <xr:revisionPtr revIDLastSave="0" documentId="13_ncr:1_{D6105879-1E3E-408D-9985-55C83849D4A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Пассивки Странника" sheetId="1" r:id="rId1"/>
    <sheet name="Настройки" sheetId="2" r:id="rId2"/>
    <sheet name="Сводка" sheetId="3" r:id="rId3"/>
    <sheet name="Правила пула" sheetId="4" r:id="rId4"/>
  </sheets>
  <definedNames>
    <definedName name="_xlnm._FilterDatabase" localSheetId="0" hidden="1">'Пассивки Странника'!$A$1:$I$147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B9" i="3"/>
  <c r="B8" i="3"/>
  <c r="B7" i="3"/>
  <c r="B6" i="3"/>
  <c r="B5" i="3"/>
  <c r="B4" i="3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C9" i="3" l="1"/>
  <c r="C7" i="3"/>
  <c r="C5" i="3"/>
  <c r="C10" i="3"/>
  <c r="C6" i="3"/>
  <c r="C4" i="3"/>
  <c r="B11" i="3"/>
  <c r="D4" i="3" s="1"/>
  <c r="C8" i="3"/>
  <c r="D5" i="3" l="1"/>
  <c r="D10" i="3"/>
  <c r="D9" i="3"/>
  <c r="D8" i="3"/>
  <c r="D7" i="3"/>
  <c r="D6" i="3"/>
</calcChain>
</file>

<file path=xl/sharedStrings.xml><?xml version="1.0" encoding="utf-8"?>
<sst xmlns="http://schemas.openxmlformats.org/spreadsheetml/2006/main" count="1076" uniqueCount="412">
  <si>
    <t>№</t>
  </si>
  <si>
    <t>Категория</t>
  </si>
  <si>
    <t>Редкость</t>
  </si>
  <si>
    <t>Название</t>
  </si>
  <si>
    <t>Эффект</t>
  </si>
  <si>
    <t>Сила влияния</t>
  </si>
  <si>
    <t>Вес (авто)</t>
  </si>
  <si>
    <t>Семейство</t>
  </si>
  <si>
    <t>Стек</t>
  </si>
  <si>
    <t>Артефакты</t>
  </si>
  <si>
    <t>Обычная</t>
  </si>
  <si>
    <t>Знакомый мастер</t>
  </si>
  <si>
    <t>Цена покупки артефактов золотом −3%</t>
  </si>
  <si>
    <t>1 — мелкая</t>
  </si>
  <si>
    <t>Артефакты: золото</t>
  </si>
  <si>
    <t>не стакается внутри семейства</t>
  </si>
  <si>
    <t>Дух</t>
  </si>
  <si>
    <t>Гулкий отзвук</t>
  </si>
  <si>
    <t>5% шанс двойного духа с босса биома</t>
  </si>
  <si>
    <t>Дух: боссы</t>
  </si>
  <si>
    <t>Жадное ухо</t>
  </si>
  <si>
    <t>5% шанс двойного духа с обычного врага</t>
  </si>
  <si>
    <t>Дух: обычные</t>
  </si>
  <si>
    <t>Пыль побед</t>
  </si>
  <si>
    <t>Дух: закрытие биома</t>
  </si>
  <si>
    <t>Золото</t>
  </si>
  <si>
    <t>Дорожный сбор</t>
  </si>
  <si>
    <t>Золото за закрытие биома +5%</t>
  </si>
  <si>
    <t>Золото: закрытие биома</t>
  </si>
  <si>
    <t>Звонкая мелочь</t>
  </si>
  <si>
    <t>5% шанс двойного золота с элиты</t>
  </si>
  <si>
    <t>Первая жила</t>
  </si>
  <si>
    <t>Календарь</t>
  </si>
  <si>
    <t>Гостеприимство</t>
  </si>
  <si>
    <t>Ежедневная награда календаря +10% валюты</t>
  </si>
  <si>
    <t>Кланы</t>
  </si>
  <si>
    <t>Доброе слово</t>
  </si>
  <si>
    <t>Очки: КБ</t>
  </si>
  <si>
    <t>Малый вклад</t>
  </si>
  <si>
    <t>Вклад в резервуар клана +3%</t>
  </si>
  <si>
    <t>Кланы: резервуар</t>
  </si>
  <si>
    <t>Контракты</t>
  </si>
  <si>
    <t>Малый оброк</t>
  </si>
  <si>
    <t>Награда золотом из контрактов +3%</t>
  </si>
  <si>
    <t>Контракты: золото</t>
  </si>
  <si>
    <t>Магазин</t>
  </si>
  <si>
    <t>Приметливый глаз</t>
  </si>
  <si>
    <t>5% шанс, что в обновлении магазина будет товар редкой+ редкости</t>
  </si>
  <si>
    <t>Магазин: ассортимент</t>
  </si>
  <si>
    <t>Свежий прилавок</t>
  </si>
  <si>
    <t>+1 бесплатное ручное обновление магазина в день</t>
  </si>
  <si>
    <t>Магазин: обновления</t>
  </si>
  <si>
    <t>Магазин: цена обновления</t>
  </si>
  <si>
    <t>Очки</t>
  </si>
  <si>
    <t>Ресурсы</t>
  </si>
  <si>
    <t>Ритуалы</t>
  </si>
  <si>
    <t>Духова доля</t>
  </si>
  <si>
    <t>Дух из героических ритуалов +5%</t>
  </si>
  <si>
    <t>Ритуалы: дух</t>
  </si>
  <si>
    <t>Золотая доля</t>
  </si>
  <si>
    <t>Золото из героических ритуалов +5%</t>
  </si>
  <si>
    <t>Ритуалы: золото</t>
  </si>
  <si>
    <t>Руны</t>
  </si>
  <si>
    <t>Рунная соринка</t>
  </si>
  <si>
    <t>Руны: пыльца</t>
  </si>
  <si>
    <t>Рынок</t>
  </si>
  <si>
    <t>Мелкий торг</t>
  </si>
  <si>
    <t>Комиссия рынка 9% вместо 10%</t>
  </si>
  <si>
    <t>Рынок: комиссия</t>
  </si>
  <si>
    <t>Эхо</t>
  </si>
  <si>
    <t>Скупая монета</t>
  </si>
  <si>
    <t>3% шанс вернуть 1 душу после атаки в Эхо</t>
  </si>
  <si>
    <t>Эхо: возврат</t>
  </si>
  <si>
    <t>Гача</t>
  </si>
  <si>
    <t>Первая прокрутка</t>
  </si>
  <si>
    <t>Первая прокрутка Возрождения душ за день дешевле на 10 Энериума</t>
  </si>
  <si>
    <t>2 — заметная</t>
  </si>
  <si>
    <t>Гача: цена</t>
  </si>
  <si>
    <t>Скорое учение</t>
  </si>
  <si>
    <t>Цена уровней героев духом −3%</t>
  </si>
  <si>
    <t>Дух: цена уровней</t>
  </si>
  <si>
    <t>Ключи</t>
  </si>
  <si>
    <t>Ржавая отмычка</t>
  </si>
  <si>
    <t>Шанс рунного ключа с элит выше на 3% (относительно)</t>
  </si>
  <si>
    <t>Ключи: шанс</t>
  </si>
  <si>
    <t>Мелкий довесок</t>
  </si>
  <si>
    <t>Награда ресурсами из контрактов +5%</t>
  </si>
  <si>
    <t>Контракты: ресурсы</t>
  </si>
  <si>
    <t>Сговорчивый купец</t>
  </si>
  <si>
    <t>Цены товаров магазина за золото −5%</t>
  </si>
  <si>
    <t>Рабочие</t>
  </si>
  <si>
    <t>Знакомая артель</t>
  </si>
  <si>
    <t>Ускорение ритуала от редкости рабочих +10% (относительно)</t>
  </si>
  <si>
    <t>Рабочие: ускорение</t>
  </si>
  <si>
    <t>Подгоняющий шёпот</t>
  </si>
  <si>
    <t>Все ритуалы короче на 3%</t>
  </si>
  <si>
    <t>Ритуалы: скорость</t>
  </si>
  <si>
    <t>Бережный вклад</t>
  </si>
  <si>
    <t>Руны: предел</t>
  </si>
  <si>
    <t>Место на прилавке</t>
  </si>
  <si>
    <t>+1 лот на рынке сверх лимита</t>
  </si>
  <si>
    <t>Рынок: лоты</t>
  </si>
  <si>
    <t>Щедрый час</t>
  </si>
  <si>
    <t>5% шанс двойной валюты с героического ритуала</t>
  </si>
  <si>
    <t>3 — сильная</t>
  </si>
  <si>
    <t>Ритуалы: валюта</t>
  </si>
  <si>
    <t>Знакомый лавочник</t>
  </si>
  <si>
    <t>5% шанс скидки 20% на случайный товар при обновлении</t>
  </si>
  <si>
    <t>4 — очень сильная</t>
  </si>
  <si>
    <t>Магазин: скидки</t>
  </si>
  <si>
    <t>Дешёвые руки</t>
  </si>
  <si>
    <t>Цена активации рабочего душами −5%</t>
  </si>
  <si>
    <t>Рабочие: цена</t>
  </si>
  <si>
    <t>Редкая</t>
  </si>
  <si>
    <t>Скидка мастерской</t>
  </si>
  <si>
    <t>Цена покупки артефактов золотом −5%</t>
  </si>
  <si>
    <t>Внятный шёпот</t>
  </si>
  <si>
    <t>10% шанс двойного духа с обычного врага</t>
  </si>
  <si>
    <t>Гул побед</t>
  </si>
  <si>
    <t>Полный отзвук</t>
  </si>
  <si>
    <t>10% шанс двойного духа с босса биома</t>
  </si>
  <si>
    <t>Полный сбор</t>
  </si>
  <si>
    <t>Золото за закрытие биома +10%</t>
  </si>
  <si>
    <t>Тяжёлый кошель</t>
  </si>
  <si>
    <t>Тёплый приём</t>
  </si>
  <si>
    <t>Ежедневная награда календаря +20% валюты</t>
  </si>
  <si>
    <t>Добрый вклад</t>
  </si>
  <si>
    <t>Дешёвая печать</t>
  </si>
  <si>
    <t>Ставка заверения дешевле на 10%</t>
  </si>
  <si>
    <t>Контракты: заверение-цена</t>
  </si>
  <si>
    <t>Мелкая печать</t>
  </si>
  <si>
    <t>Награда золотом из контрактов +5%</t>
  </si>
  <si>
    <t>Верный слух</t>
  </si>
  <si>
    <t>10% шанс, что в обновлении магазина будет товар редкой+ редкости</t>
  </si>
  <si>
    <t>Крепкий уговор</t>
  </si>
  <si>
    <t>Ручное обновление магазина за Энериум дешевле на 25%</t>
  </si>
  <si>
    <t>Оптовый гость</t>
  </si>
  <si>
    <t>10% шанс скидки 30% на случайный товар при обновлении</t>
  </si>
  <si>
    <t>Мета</t>
  </si>
  <si>
    <t>Верный удар</t>
  </si>
  <si>
    <t>Полная доля</t>
  </si>
  <si>
    <t>Золото из героических ритуалов +10%</t>
  </si>
  <si>
    <t>Щедрая доля</t>
  </si>
  <si>
    <t>Дух из героических ритуалов +10%</t>
  </si>
  <si>
    <t>Тёплая рука</t>
  </si>
  <si>
    <t>Первая прокрутка Возрождения душ за день дешевле на 25 Энериума</t>
  </si>
  <si>
    <t>Наставник душ</t>
  </si>
  <si>
    <t>Дань владыки</t>
  </si>
  <si>
    <t>10% шанс двойного золота с босса биома</t>
  </si>
  <si>
    <t>Золотой след</t>
  </si>
  <si>
    <t>Подпилок</t>
  </si>
  <si>
    <t>Шанс рунного ключа с элит выше на 5% (относительно)</t>
  </si>
  <si>
    <t>Полный довесок</t>
  </si>
  <si>
    <t>Награда ресурсами из контрактов +10%</t>
  </si>
  <si>
    <t>Постоянный покупатель</t>
  </si>
  <si>
    <t>+2 бесплатных ручных обновления магазина в день</t>
  </si>
  <si>
    <t>Свой поставщик</t>
  </si>
  <si>
    <t>Цены товаров магазина за золото −10%</t>
  </si>
  <si>
    <t>Сработанная артель</t>
  </si>
  <si>
    <t>Скорый сговор</t>
  </si>
  <si>
    <t>Рунная пыльца</t>
  </si>
  <si>
    <t>3% шанс +1 руна при дропе рун пределов 1–3</t>
  </si>
  <si>
    <t>Торговый знак</t>
  </si>
  <si>
    <t>Комиссия рынка 7% вместо 10%</t>
  </si>
  <si>
    <t>Артельная скидка</t>
  </si>
  <si>
    <t>Цена активации рабочего душами −10%</t>
  </si>
  <si>
    <t>Второй заход</t>
  </si>
  <si>
    <t>+1 бесплатный ролл пула ритуалов в день</t>
  </si>
  <si>
    <t>Ритуалы: роллы</t>
  </si>
  <si>
    <t>Добрый час</t>
  </si>
  <si>
    <t>Мелкая экономия</t>
  </si>
  <si>
    <t>Уникальная</t>
  </si>
  <si>
    <t>Старшина артели</t>
  </si>
  <si>
    <t>Цена активации рабочего душами −15%</t>
  </si>
  <si>
    <t>Договор мастерской</t>
  </si>
  <si>
    <t>Цена покупки артефактов золотом −10%</t>
  </si>
  <si>
    <t>Золотая тропа</t>
  </si>
  <si>
    <t>Казна павших</t>
  </si>
  <si>
    <t>Полный кошель</t>
  </si>
  <si>
    <t>Почётный гость</t>
  </si>
  <si>
    <t>Ежедневная награда календаря +30% валюты</t>
  </si>
  <si>
    <t>Столп клана</t>
  </si>
  <si>
    <t>Двойной довесок</t>
  </si>
  <si>
    <t>Награда ресурсами из контрактов +15%</t>
  </si>
  <si>
    <t>Долгий жребий</t>
  </si>
  <si>
    <t>+1 бесплатный реролл заданий в день</t>
  </si>
  <si>
    <t>Контракты: реролы</t>
  </si>
  <si>
    <t>Крепкая печать</t>
  </si>
  <si>
    <t>Награда золотом из контрактов +10%</t>
  </si>
  <si>
    <t>Купеческая печать</t>
  </si>
  <si>
    <t>Ставка заверения дешевле на 20%</t>
  </si>
  <si>
    <t>Уважаемый клиент</t>
  </si>
  <si>
    <t>15% шанс скидки 40% на случайный товар при обновлении</t>
  </si>
  <si>
    <t>Утренний гость</t>
  </si>
  <si>
    <t>+3 бесплатных ручных обновления магазина в день</t>
  </si>
  <si>
    <t>Хозяин лавки</t>
  </si>
  <si>
    <t>Цены товаров магазина за золото −15%</t>
  </si>
  <si>
    <t>Клинок клана</t>
  </si>
  <si>
    <t>Быстрый караван</t>
  </si>
  <si>
    <t>Все ритуалы короче на 10%</t>
  </si>
  <si>
    <t>Душевная доля</t>
  </si>
  <si>
    <t>Души из героических ритуалов +5%</t>
  </si>
  <si>
    <t>Ритуалы: души</t>
  </si>
  <si>
    <t>Своя лавка</t>
  </si>
  <si>
    <t>+2 лота на рынке сверх лимита</t>
  </si>
  <si>
    <t>Снаряжение</t>
  </si>
  <si>
    <t>Твёрдая ковка</t>
  </si>
  <si>
    <t>Шанс аффинного стата слота +5 п.п.</t>
  </si>
  <si>
    <t>Снаряжение: аффинитет</t>
  </si>
  <si>
    <t>Льгота душ</t>
  </si>
  <si>
    <t>Цена прокачки артефактов душами −3%</t>
  </si>
  <si>
    <t>Артефакты: души</t>
  </si>
  <si>
    <t>Хор голосов</t>
  </si>
  <si>
    <t>15% шанс двойного духа с любого врага биома</t>
  </si>
  <si>
    <t>Дух: все</t>
  </si>
  <si>
    <t>Школа Странника</t>
  </si>
  <si>
    <t>Цена уровней героев духом −10%</t>
  </si>
  <si>
    <t>Души</t>
  </si>
  <si>
    <t>Щедрый босс</t>
  </si>
  <si>
    <t>Босс биома приносит +1 душу всегда</t>
  </si>
  <si>
    <t>Души: боссы</t>
  </si>
  <si>
    <t>Верный подбор</t>
  </si>
  <si>
    <t>Шанс рунного ключа с элит выше на 7% (относительно)</t>
  </si>
  <si>
    <t>Костяная отмычка</t>
  </si>
  <si>
    <t>5% шанс, что ключ выпадет с босса биома при промахе основного шанса</t>
  </si>
  <si>
    <t>Право гостя</t>
  </si>
  <si>
    <t>Первый вход к рунному боссу каждый день бесплатен</t>
  </si>
  <si>
    <t>Ключи: вход</t>
  </si>
  <si>
    <t>Тонкая жила</t>
  </si>
  <si>
    <t>5% шанс двойного уникального ресурса босса биома</t>
  </si>
  <si>
    <t>Ресурсы: уникальный</t>
  </si>
  <si>
    <t>Звёздный час</t>
  </si>
  <si>
    <t>Рунная крупа</t>
  </si>
  <si>
    <t>5% шанс +1 руна при дропе рун пределов 1–3</t>
  </si>
  <si>
    <t>Печать торгового дома</t>
  </si>
  <si>
    <t>Комиссия рынка 5% вместо 10%</t>
  </si>
  <si>
    <t>Эпическая</t>
  </si>
  <si>
    <t>Свой человек в гильдии</t>
  </si>
  <si>
    <t>Дар владыки</t>
  </si>
  <si>
    <t>Босс биома приносит +2 души всегда</t>
  </si>
  <si>
    <t>Золотая печать</t>
  </si>
  <si>
    <t>Награда золотом из контрактов +15%</t>
  </si>
  <si>
    <t>Чёрный ход</t>
  </si>
  <si>
    <t>Раз в день один товар магазина за золото можно купить со скидкой 50%</t>
  </si>
  <si>
    <t>Караванный сговор</t>
  </si>
  <si>
    <t>+1 слот ритуалов</t>
  </si>
  <si>
    <t>Ритуалы: слоты</t>
  </si>
  <si>
    <t>Патент мастерской</t>
  </si>
  <si>
    <t>Цена покупки артефактов золотом −15%</t>
  </si>
  <si>
    <t>Многоголосье</t>
  </si>
  <si>
    <t>20% шанс двойного духа с любого врага биома</t>
  </si>
  <si>
    <t>Тихий сбор</t>
  </si>
  <si>
    <t>5% шанс +1 душа с элиты биома</t>
  </si>
  <si>
    <t>Души: элиты</t>
  </si>
  <si>
    <t>Золотая лихорадка</t>
  </si>
  <si>
    <t>10% шанс двойного золота с любого врага биома</t>
  </si>
  <si>
    <t>Щедрый жребий</t>
  </si>
  <si>
    <t>+2 бесплатных реролла заданий в день</t>
  </si>
  <si>
    <t>Гильдия теней</t>
  </si>
  <si>
    <t>Цена активации рабочего душами −25%</t>
  </si>
  <si>
    <t>Третий заход</t>
  </si>
  <si>
    <t>+2 бесплатных ролла пула ритуалов в день</t>
  </si>
  <si>
    <t>Паром без очереди</t>
  </si>
  <si>
    <t>5% шанс вернуть все души за атаку в Эхо при убийстве этой атакой</t>
  </si>
  <si>
    <t>Милость душ</t>
  </si>
  <si>
    <t>Цена прокачки артефактов душами −5%</t>
  </si>
  <si>
    <t>Дар наставника</t>
  </si>
  <si>
    <t>Печать доверия</t>
  </si>
  <si>
    <t>Ставка заверения дешевле на 30%</t>
  </si>
  <si>
    <t>Знамя клана</t>
  </si>
  <si>
    <t>Ветер в спину</t>
  </si>
  <si>
    <t>Обильная доля</t>
  </si>
  <si>
    <t>Души из героических ритуалов +10%</t>
  </si>
  <si>
    <t>Рунный резонанс</t>
  </si>
  <si>
    <t>10% шанс дополнительной руны за убийство рунного босса</t>
  </si>
  <si>
    <t>Руны: доп. руна</t>
  </si>
  <si>
    <t>5 — меняет билд</t>
  </si>
  <si>
    <t>Древняя</t>
  </si>
  <si>
    <t>Старшины каравана</t>
  </si>
  <si>
    <t>+2 слота ритуалов</t>
  </si>
  <si>
    <t>Полный жребий</t>
  </si>
  <si>
    <t>+3 бесплатных реролла заданий в день</t>
  </si>
  <si>
    <t>Крафт</t>
  </si>
  <si>
    <t>Верный отсвет</t>
  </si>
  <si>
    <t>Подсказка «все ресурсы верны, количества нет» срабатывает уже при 2 верных ингредиентах</t>
  </si>
  <si>
    <t>Крафт: подсказки</t>
  </si>
  <si>
    <t>Второй бросок</t>
  </si>
  <si>
    <t>Раз в день один ролл снаряжения можно перебросить</t>
  </si>
  <si>
    <t>Снаряжение: ролл</t>
  </si>
  <si>
    <t>Второй силуэт</t>
  </si>
  <si>
    <t>5% шанс, что призыв в Эхо покажет +1 вариант</t>
  </si>
  <si>
    <t>Эхо: призыв</t>
  </si>
  <si>
    <t>Золотая жила Странника</t>
  </si>
  <si>
    <t>Перековка</t>
  </si>
  <si>
    <t>Пакт кузни</t>
  </si>
  <si>
    <t>Перековка требует 9 предметов вместо 10</t>
  </si>
  <si>
    <t>Щедрый предел</t>
  </si>
  <si>
    <t>10% шанс, что руна не спишется при вкладе в предел</t>
  </si>
  <si>
    <t>Кошель душ</t>
  </si>
  <si>
    <t>Атаки обычных и элитных врагов Эхо дешевле на 1 душу (минимум 1)</t>
  </si>
  <si>
    <t>Эхо: цена атак</t>
  </si>
  <si>
    <t>Дар душ</t>
  </si>
  <si>
    <t>Цена прокачки артефактов душами −10%</t>
  </si>
  <si>
    <t>Смазанный замок</t>
  </si>
  <si>
    <t>Шанс рунного ключа с элит выше на 10% (относительно)</t>
  </si>
  <si>
    <t>Отсрочка Странника</t>
  </si>
  <si>
    <t>Недельный контракт можно сдать до самой отсечки без часового запаса</t>
  </si>
  <si>
    <t>Контракты: время</t>
  </si>
  <si>
    <t>Резонанс глубин</t>
  </si>
  <si>
    <t>Верная рука</t>
  </si>
  <si>
    <t>20% шанс, что дроп снаряжения будет на редкость выше но не выше макс редкости</t>
  </si>
  <si>
    <t>Снаряжение: редкость</t>
  </si>
  <si>
    <t>Первородная</t>
  </si>
  <si>
    <t>Вторая печать</t>
  </si>
  <si>
    <t>+1 задание в пуле контрактов</t>
  </si>
  <si>
    <t>Контракты: пул</t>
  </si>
  <si>
    <t>Барабан судьбы</t>
  </si>
  <si>
    <t>Цена прокрутки Возрождения душ 90 Энериума вместо 100</t>
  </si>
  <si>
    <t>Горячий барабан</t>
  </si>
  <si>
    <t>10% шанс +2 осколка героя при дропе из Возрождения душ</t>
  </si>
  <si>
    <t>Гача: осколки</t>
  </si>
  <si>
    <t>Ключ-невидимка</t>
  </si>
  <si>
    <t>10% шанс, что вход к рунному боссу не потратит ключи вовсе</t>
  </si>
  <si>
    <t>Жила дормита</t>
  </si>
  <si>
    <t>10% шанс двойного уникального ресурса босса биома</t>
  </si>
  <si>
    <t>Караван Этриона</t>
  </si>
  <si>
    <t>+3 слота ритуалов и все ритуалы короче на 10%</t>
  </si>
  <si>
    <t>Договор с паромщиком</t>
  </si>
  <si>
    <t>10% шанс вернуть все души за атаку в Эхо при убийстве этой атакой</t>
  </si>
  <si>
    <t>Зоркий призыв</t>
  </si>
  <si>
    <t>10% шанс, что призыв в Эхо покажет +1 вариант</t>
  </si>
  <si>
    <t>Монета обочины</t>
  </si>
  <si>
    <t>10% шанс +2 души с элиты биома</t>
  </si>
  <si>
    <t>Мастер тиглей</t>
  </si>
  <si>
    <t>Перековка требует 8 предметов вместо 10</t>
  </si>
  <si>
    <t>Глас пределов</t>
  </si>
  <si>
    <t>Заверенное слово</t>
  </si>
  <si>
    <t>Заверение можно ставить на оба контракта — дневной и недельный</t>
  </si>
  <si>
    <t>Контракты: заверение</t>
  </si>
  <si>
    <t>Биомы</t>
  </si>
  <si>
    <t>Вневременная</t>
  </si>
  <si>
    <t>Право владыки</t>
  </si>
  <si>
    <t>+1 одновременно активный биом</t>
  </si>
  <si>
    <t>Биомы: активные</t>
  </si>
  <si>
    <t>Чертёжник башни</t>
  </si>
  <si>
    <t>Активация чертежа героя возвращает 25% вложенных душ</t>
  </si>
  <si>
    <t>Гача: чертёж</t>
  </si>
  <si>
    <t>Вечный задаток</t>
  </si>
  <si>
    <t>Вход к рунному боссу дешевле на 2 ключа (минимум 1)</t>
  </si>
  <si>
    <t>Золотое дно</t>
  </si>
  <si>
    <t>10% шанс удвоить ВЕСЬ дроп с босса биома (включая уникальный)</t>
  </si>
  <si>
    <t>Эхо-жнец</t>
  </si>
  <si>
    <t>Атаки ВСЕХ врагов Эхо дешевле на 1 душу (минимум 1)</t>
  </si>
  <si>
    <t>Доблесть</t>
  </si>
  <si>
    <t>Поток черепков</t>
  </si>
  <si>
    <t>Весь дроп осколков со второго рунного босса +1 (сдвиг всей таблицы)</t>
  </si>
  <si>
    <t>Избранник Странника</t>
  </si>
  <si>
    <t>Один выбранный герой получает пятый слот духовного талисмана (смена раз в неделю)</t>
  </si>
  <si>
    <t>Мета: слот</t>
  </si>
  <si>
    <t>Рунный ливень</t>
  </si>
  <si>
    <t>НАСТРОЙКИ ВЕСОВ — меняй только эту страницу, веса пересчитаются сами</t>
  </si>
  <si>
    <t>Базовый вес</t>
  </si>
  <si>
    <t>Множитель</t>
  </si>
  <si>
    <t>Вес = Базовый вес редкости × Множитель силы влияния (округление до целого).</t>
  </si>
  <si>
    <t>Чем сильнее перк влияет на билд — тем меньше множитель и тем реже он выпадает внутри своей редкости.</t>
  </si>
  <si>
    <t>СВОДКА ПО ПУЛУ (считается автоматически)</t>
  </si>
  <si>
    <t>Штук</t>
  </si>
  <si>
    <t>Сумма весов</t>
  </si>
  <si>
    <t>Доля пула</t>
  </si>
  <si>
    <t>Всего</t>
  </si>
  <si>
    <t>Вероятность конкретного перка внутри редкости = его вес ÷ сумма весов этой редкости.</t>
  </si>
  <si>
    <t>Веса самих редкостей при ролле тройки задаются отдельно по номеру перехода цикла.</t>
  </si>
  <si>
    <t>ПАССИВКИ СТРАННИКА — версия 5 (пирамида собрана). Числа стартовые, под прогоны.</t>
  </si>
  <si>
    <t>Пирамида: обычных 50 → редких 46 → уникальных 43 → эпических 29 → древних 19 → первородных 13 → вневременных 10. Всего 210.</t>
  </si>
  <si>
    <t>КАК ПОЛЬЗОВАТЬСЯ: редкость и силу влияния меняй выпадающими списками (колонки C и F) — вес пересчитается сам,</t>
  </si>
  <si>
    <t>цвет строки сменится, сводка обновится. Базовые веса и множители — на листе «Настройки».</t>
  </si>
  <si>
    <t>1. Пять пассивок за игру: по одной на каждом переходе цикла. Выбор 1 из 3, перерол тройки — за Энериум.</t>
  </si>
  <si>
    <t>2. Сброс билда за Энериум — не чаще раза в неделю Элемента (монетизация).</t>
  </si>
  <si>
    <t>3. Ролл: сначала редкость (веса редкостей по номеру перехода), затем перк внутри редкости по весу.</t>
  </si>
  <si>
    <t>4. Семейства: перки одного семейства не стакаются — работает сильнейший. Разные семейства складываются.</t>
  </si>
  <si>
    <t>5. Проценты применяются к базе, дробная часть разыгрывается от серверного сида; плоские добавки — после процентных; минимум 1 везде.</t>
  </si>
  <si>
    <t>6. Сторожа: кап убийств РБ не поднимается; «ноль»-законы не обходятся; отсечка недели, «всё или ничего» контрактов и Эло неприкосновенны.</t>
  </si>
  <si>
    <t>7. Перки на очки рейтингов (Эхо, Событие, КБ, контракты) множат заработанные очки, но не дают очков за неигровые действия.</t>
  </si>
  <si>
    <t>Вклад в резервуар клана +1%</t>
  </si>
  <si>
    <t>Вклад в резервуар клана +5%</t>
  </si>
  <si>
    <t>Личные очки Кланового босса +1%</t>
  </si>
  <si>
    <t>Цена уровней героев духом −5%</t>
  </si>
  <si>
    <t>Цена уровней героев духом −1%</t>
  </si>
  <si>
    <t>Дух после закрытия биома +10%</t>
  </si>
  <si>
    <t>Дух после закрытия биома +5%</t>
  </si>
  <si>
    <t>5% шанс двойного золота с любого врага биома</t>
  </si>
  <si>
    <t>3% шанс двойного золота с обычного врага</t>
  </si>
  <si>
    <t>1% шанс двойного золота с обычного врага</t>
  </si>
  <si>
    <t>3% шанс двойного золота с элиты</t>
  </si>
  <si>
    <t>5% шанс двойного золота с босса биома</t>
  </si>
  <si>
    <t>1% шанс двойного золота с элиты</t>
  </si>
  <si>
    <t>0.5% шанс двойного золота с обычного врага</t>
  </si>
  <si>
    <t>Доп. Дроп Золото</t>
  </si>
  <si>
    <t>Личные очки Кланового босса +3%</t>
  </si>
  <si>
    <t>Личные очки Кланового босса +5%</t>
  </si>
  <si>
    <t>Ускорение ритуала от редкости рабочих +5% (относительно)</t>
  </si>
  <si>
    <t>Все ритуалы короче на 5%</t>
  </si>
  <si>
    <t>3% шанс двойной валюты с героического ритуала</t>
  </si>
  <si>
    <t>1% шанс двойной валюты с героического ритуала</t>
  </si>
  <si>
    <t>Все ритуалы короче на 1%</t>
  </si>
  <si>
    <t>1% шанс +1 руна при дропе рун пределов 1–3</t>
  </si>
  <si>
    <t>5% шанс дополнительной руны за убийство рунного босса</t>
  </si>
  <si>
    <t>5% шанс, что руна не спишется при вкладе в предел</t>
  </si>
  <si>
    <t>1% шанс, что руна не спишется при вкладе в предел</t>
  </si>
  <si>
    <t>3% шанс дополнительной руны за убийство рунного босса</t>
  </si>
  <si>
    <t>+3 лота на рынке сверх лимита</t>
  </si>
  <si>
    <t>1% шанс вернуть 1 душу после атаки в Эхо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</si>
</sst>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i/>
      <sz val="10"/>
      <name val="Calibri"/>
    </font>
    <font>
      <b/>
      <sz val="11"/>
      <color rgb="FFFFFFFF"/>
      <name val="Arial"/>
    </font>
    <font>
      <sz val="10"/>
      <name val="Arial"/>
    </font>
    <font>
      <b/>
      <sz val="11"/>
      <name val="Calibri"/>
    </font>
    <font>
      <b/>
      <sz val="10"/>
      <name val="Arial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A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2" borderId="0" xfId="0" applyFont="1" applyFill="1" applyAlignment="1">
      <alignment vertical="center" wrapText="1"/>
    </xf>
    <xf numFmtId="0" fontId="5" fillId="0" borderId="0" xfId="0" applyFont="1"/>
    <xf numFmtId="0" fontId="1" fillId="0" borderId="0" xfId="0" applyFont="1"/>
    <xf numFmtId="0" fontId="2" fillId="2" borderId="0" xfId="0" applyFont="1" applyFill="1"/>
    <xf numFmtId="0" fontId="3" fillId="0" borderId="0" xfId="0" applyFont="1"/>
    <xf numFmtId="164" fontId="0" fillId="0" borderId="0" xfId="0" applyNumberFormat="1"/>
    <xf numFmtId="0" fontId="6" fillId="0" borderId="0" xfId="0" applyFont="1"/>
    <xf numFmtId="0" fontId="7" fillId="0" borderId="0" xfId="0" applyFont="1"/>
    <xf numFmtId="49" fontId="8" fillId="0" borderId="0" xfId="0" applyNumberFormat="1" applyFont="1"/>
    <xf numFmtId="0" fontId="8" fillId="0" borderId="0" xfId="0" applyFont="1"/>
  </cellXfs>
  <cellStyles count="1">
    <cellStyle name="Обычный" xfId="0" builtinId="0"/>
  </cellStyles>
  <dxfs count="7">
    <dxf>
      <fill>
        <patternFill patternType="solid">
          <fgColor rgb="FFD9F0EE"/>
          <bgColor rgb="FFD9F0EE"/>
        </patternFill>
      </fill>
    </dxf>
    <dxf>
      <fill>
        <patternFill patternType="solid">
          <fgColor rgb="FFF0D5D5"/>
          <bgColor rgb="FFF0D5D5"/>
        </patternFill>
      </fill>
    </dxf>
    <dxf>
      <fill>
        <patternFill patternType="solid">
          <fgColor rgb="FFF0E6C8"/>
          <bgColor rgb="FFF0E6C8"/>
        </patternFill>
      </fill>
    </dxf>
    <dxf>
      <fill>
        <patternFill patternType="solid">
          <fgColor rgb="FFE4D5F0"/>
          <bgColor rgb="FFE4D5F0"/>
        </patternFill>
      </fill>
    </dxf>
    <dxf>
      <fill>
        <patternFill patternType="solid">
          <fgColor rgb="FFD5E3F0"/>
          <bgColor rgb="FFD5E3F0"/>
        </patternFill>
      </fill>
    </dxf>
    <dxf>
      <fill>
        <patternFill patternType="solid">
          <fgColor rgb="FFDCE9D5"/>
          <bgColor rgb="FFDCE9D5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7"/>
  <sheetViews>
    <sheetView tabSelected="1" zoomScale="115" zoomScaleNormal="115" workbookViewId="0">
      <pane ySplit="1" topLeftCell="A92" activePane="bottomLeft" state="frozen"/>
      <selection pane="bottomLeft" activeCell="E63" sqref="E63"/>
    </sheetView>
  </sheetViews>
  <sheetFormatPr defaultRowHeight="15" x14ac:dyDescent="0.25"/>
  <cols>
    <col min="1" max="1" width="5" customWidth="1"/>
    <col min="2" max="3" width="15" customWidth="1"/>
    <col min="4" max="4" width="0.140625" customWidth="1"/>
    <col min="5" max="5" width="86.28515625" customWidth="1"/>
    <col min="6" max="6" width="18" customWidth="1"/>
    <col min="7" max="7" width="10" customWidth="1"/>
    <col min="8" max="8" width="24" customWidth="1"/>
    <col min="9" max="9" width="30" customWidth="1"/>
  </cols>
  <sheetData>
    <row r="1" spans="1:9" ht="1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f>IFERROR(ROUND(INDEX(Настройки!$B$3:$B$9,MATCH($C2,Настройки!$A$3:$A$9,0))*INDEX(Настройки!$E$3:$E$7,MATCH($F2,Настройки!$D$3:$D$7,0)),0),"")</f>
        <v>125</v>
      </c>
      <c r="H2" s="2" t="s">
        <v>14</v>
      </c>
      <c r="I2" s="2" t="s">
        <v>15</v>
      </c>
    </row>
    <row r="3" spans="1:9" x14ac:dyDescent="0.25">
      <c r="A3" s="2">
        <v>2</v>
      </c>
      <c r="B3" s="2" t="s">
        <v>16</v>
      </c>
      <c r="C3" s="2" t="s">
        <v>10</v>
      </c>
      <c r="D3" s="2" t="s">
        <v>17</v>
      </c>
      <c r="E3" s="2" t="s">
        <v>18</v>
      </c>
      <c r="F3" s="2" t="s">
        <v>13</v>
      </c>
      <c r="G3" s="2">
        <f>IFERROR(ROUND(INDEX(Настройки!$B$3:$B$9,MATCH($C3,Настройки!$A$3:$A$9,0))*INDEX(Настройки!$E$3:$E$7,MATCH($F3,Настройки!$D$3:$D$7,0)),0),"")</f>
        <v>125</v>
      </c>
      <c r="H3" s="2" t="s">
        <v>19</v>
      </c>
      <c r="I3" s="2" t="s">
        <v>15</v>
      </c>
    </row>
    <row r="4" spans="1:9" x14ac:dyDescent="0.25">
      <c r="A4" s="2">
        <v>3</v>
      </c>
      <c r="B4" s="2" t="s">
        <v>16</v>
      </c>
      <c r="C4" s="2" t="s">
        <v>10</v>
      </c>
      <c r="D4" s="2" t="s">
        <v>20</v>
      </c>
      <c r="E4" s="2" t="s">
        <v>21</v>
      </c>
      <c r="F4" s="2" t="s">
        <v>13</v>
      </c>
      <c r="G4" s="2">
        <f>IFERROR(ROUND(INDEX(Настройки!$B$3:$B$9,MATCH($C4,Настройки!$A$3:$A$9,0))*INDEX(Настройки!$E$3:$E$7,MATCH($F4,Настройки!$D$3:$D$7,0)),0),"")</f>
        <v>125</v>
      </c>
      <c r="H4" s="2" t="s">
        <v>22</v>
      </c>
      <c r="I4" s="2" t="s">
        <v>15</v>
      </c>
    </row>
    <row r="5" spans="1:9" x14ac:dyDescent="0.25">
      <c r="A5" s="2">
        <v>4</v>
      </c>
      <c r="B5" s="2" t="s">
        <v>16</v>
      </c>
      <c r="C5" s="2" t="s">
        <v>171</v>
      </c>
      <c r="D5" s="2" t="s">
        <v>23</v>
      </c>
      <c r="E5" s="2" t="s">
        <v>389</v>
      </c>
      <c r="F5" s="2" t="s">
        <v>13</v>
      </c>
      <c r="G5" s="2">
        <f>IFERROR(ROUND(INDEX(Настройки!$B$3:$B$9,MATCH($C5,Настройки!$A$3:$A$9,0))*INDEX(Настройки!$E$3:$E$7,MATCH($F5,Настройки!$D$3:$D$7,0)),0),"")</f>
        <v>73</v>
      </c>
      <c r="H5" s="2" t="s">
        <v>24</v>
      </c>
      <c r="I5" s="2" t="s">
        <v>15</v>
      </c>
    </row>
    <row r="6" spans="1:9" x14ac:dyDescent="0.25">
      <c r="A6" s="2">
        <v>5</v>
      </c>
      <c r="B6" s="2" t="s">
        <v>25</v>
      </c>
      <c r="C6" s="2" t="s">
        <v>10</v>
      </c>
      <c r="D6" s="2" t="s">
        <v>26</v>
      </c>
      <c r="E6" s="2" t="s">
        <v>27</v>
      </c>
      <c r="F6" s="2" t="s">
        <v>13</v>
      </c>
      <c r="G6" s="2">
        <f>IFERROR(ROUND(INDEX(Настройки!$B$3:$B$9,MATCH($C6,Настройки!$A$3:$A$9,0))*INDEX(Настройки!$E$3:$E$7,MATCH($F6,Настройки!$D$3:$D$7,0)),0),"")</f>
        <v>125</v>
      </c>
      <c r="H6" s="2" t="s">
        <v>28</v>
      </c>
      <c r="I6" s="2" t="s">
        <v>15</v>
      </c>
    </row>
    <row r="7" spans="1:9" x14ac:dyDescent="0.25">
      <c r="A7" s="2">
        <v>6</v>
      </c>
      <c r="B7" s="2" t="s">
        <v>25</v>
      </c>
      <c r="C7" s="2" t="s">
        <v>10</v>
      </c>
      <c r="D7" s="2" t="s">
        <v>29</v>
      </c>
      <c r="E7" s="2" t="s">
        <v>395</v>
      </c>
      <c r="F7" s="2" t="s">
        <v>13</v>
      </c>
      <c r="G7" s="2">
        <f>IFERROR(ROUND(INDEX(Настройки!$B$3:$B$9,MATCH($C7,Настройки!$A$3:$A$9,0))*INDEX(Настройки!$E$3:$E$7,MATCH($F7,Настройки!$D$3:$D$7,0)),0),"")</f>
        <v>125</v>
      </c>
      <c r="H7" s="2" t="s">
        <v>397</v>
      </c>
      <c r="I7" s="2" t="s">
        <v>15</v>
      </c>
    </row>
    <row r="8" spans="1:9" x14ac:dyDescent="0.25">
      <c r="A8" s="2">
        <v>7</v>
      </c>
      <c r="B8" s="2" t="s">
        <v>25</v>
      </c>
      <c r="C8" s="2" t="s">
        <v>10</v>
      </c>
      <c r="D8" s="2" t="s">
        <v>31</v>
      </c>
      <c r="E8" s="2" t="s">
        <v>396</v>
      </c>
      <c r="F8" s="2" t="s">
        <v>13</v>
      </c>
      <c r="G8" s="2">
        <f>IFERROR(ROUND(INDEX(Настройки!$B$3:$B$9,MATCH($C8,Настройки!$A$3:$A$9,0))*INDEX(Настройки!$E$3:$E$7,MATCH($F8,Настройки!$D$3:$D$7,0)),0),"")</f>
        <v>125</v>
      </c>
      <c r="H8" s="2" t="s">
        <v>397</v>
      </c>
      <c r="I8" s="2" t="s">
        <v>15</v>
      </c>
    </row>
    <row r="9" spans="1:9" x14ac:dyDescent="0.25">
      <c r="A9" s="2">
        <v>8</v>
      </c>
      <c r="B9" s="2" t="s">
        <v>32</v>
      </c>
      <c r="C9" s="2" t="s">
        <v>10</v>
      </c>
      <c r="D9" s="2" t="s">
        <v>33</v>
      </c>
      <c r="E9" s="2" t="s">
        <v>34</v>
      </c>
      <c r="F9" s="2" t="s">
        <v>13</v>
      </c>
      <c r="G9" s="2">
        <f>IFERROR(ROUND(INDEX(Настройки!$B$3:$B$9,MATCH($C9,Настройки!$A$3:$A$9,0))*INDEX(Настройки!$E$3:$E$7,MATCH($F9,Настройки!$D$3:$D$7,0)),0),"")</f>
        <v>125</v>
      </c>
      <c r="H9" s="2" t="s">
        <v>32</v>
      </c>
      <c r="I9" s="2" t="s">
        <v>15</v>
      </c>
    </row>
    <row r="10" spans="1:9" x14ac:dyDescent="0.25">
      <c r="A10" s="2">
        <v>9</v>
      </c>
      <c r="B10" s="2" t="s">
        <v>35</v>
      </c>
      <c r="C10" s="2" t="s">
        <v>277</v>
      </c>
      <c r="D10" s="2" t="s">
        <v>36</v>
      </c>
      <c r="E10" s="2" t="s">
        <v>385</v>
      </c>
      <c r="F10" s="2" t="s">
        <v>276</v>
      </c>
      <c r="G10" s="2">
        <f>IFERROR(ROUND(INDEX(Настройки!$B$3:$B$9,MATCH($C10,Настройки!$A$3:$A$9,0))*INDEX(Настройки!$E$3:$E$7,MATCH($F10,Настройки!$D$3:$D$7,0)),0),"")</f>
        <v>23</v>
      </c>
      <c r="H10" s="2" t="s">
        <v>37</v>
      </c>
      <c r="I10" s="2" t="s">
        <v>15</v>
      </c>
    </row>
    <row r="11" spans="1:9" x14ac:dyDescent="0.25">
      <c r="A11" s="2">
        <v>10</v>
      </c>
      <c r="B11" s="2" t="s">
        <v>35</v>
      </c>
      <c r="C11" s="2" t="s">
        <v>10</v>
      </c>
      <c r="D11" s="2" t="s">
        <v>38</v>
      </c>
      <c r="E11" s="2" t="s">
        <v>383</v>
      </c>
      <c r="F11" s="2" t="s">
        <v>104</v>
      </c>
      <c r="G11" s="2">
        <f>IFERROR(ROUND(INDEX(Настройки!$B$3:$B$9,MATCH($C11,Настройки!$A$3:$A$9,0))*INDEX(Настройки!$E$3:$E$7,MATCH($F11,Настройки!$D$3:$D$7,0)),0),"")</f>
        <v>100</v>
      </c>
      <c r="H11" s="2" t="s">
        <v>40</v>
      </c>
      <c r="I11" s="2" t="s">
        <v>15</v>
      </c>
    </row>
    <row r="12" spans="1:9" x14ac:dyDescent="0.25">
      <c r="A12" s="2">
        <v>11</v>
      </c>
      <c r="B12" s="2" t="s">
        <v>41</v>
      </c>
      <c r="C12" s="2" t="s">
        <v>10</v>
      </c>
      <c r="D12" s="2" t="s">
        <v>42</v>
      </c>
      <c r="E12" s="2" t="s">
        <v>43</v>
      </c>
      <c r="F12" s="2" t="s">
        <v>13</v>
      </c>
      <c r="G12" s="2">
        <f>IFERROR(ROUND(INDEX(Настройки!$B$3:$B$9,MATCH($C12,Настройки!$A$3:$A$9,0))*INDEX(Настройки!$E$3:$E$7,MATCH($F12,Настройки!$D$3:$D$7,0)),0),"")</f>
        <v>125</v>
      </c>
      <c r="H12" s="2" t="s">
        <v>44</v>
      </c>
      <c r="I12" s="2" t="s">
        <v>15</v>
      </c>
    </row>
    <row r="13" spans="1:9" x14ac:dyDescent="0.25">
      <c r="A13" s="2">
        <v>12</v>
      </c>
      <c r="B13" s="2" t="s">
        <v>45</v>
      </c>
      <c r="C13" s="2" t="s">
        <v>10</v>
      </c>
      <c r="D13" s="2" t="s">
        <v>46</v>
      </c>
      <c r="E13" s="2" t="s">
        <v>47</v>
      </c>
      <c r="F13" s="2" t="s">
        <v>13</v>
      </c>
      <c r="G13" s="2">
        <f>IFERROR(ROUND(INDEX(Настройки!$B$3:$B$9,MATCH($C13,Настройки!$A$3:$A$9,0))*INDEX(Настройки!$E$3:$E$7,MATCH($F13,Настройки!$D$3:$D$7,0)),0),"")</f>
        <v>125</v>
      </c>
      <c r="H13" s="2" t="s">
        <v>48</v>
      </c>
      <c r="I13" s="2" t="s">
        <v>15</v>
      </c>
    </row>
    <row r="14" spans="1:9" x14ac:dyDescent="0.25">
      <c r="A14" s="2">
        <v>13</v>
      </c>
      <c r="B14" s="2" t="s">
        <v>45</v>
      </c>
      <c r="C14" s="2" t="s">
        <v>10</v>
      </c>
      <c r="D14" s="2" t="s">
        <v>49</v>
      </c>
      <c r="E14" s="2" t="s">
        <v>50</v>
      </c>
      <c r="F14" s="2" t="s">
        <v>13</v>
      </c>
      <c r="G14" s="2">
        <f>IFERROR(ROUND(INDEX(Настройки!$B$3:$B$9,MATCH($C14,Настройки!$A$3:$A$9,0))*INDEX(Настройки!$E$3:$E$7,MATCH($F14,Настройки!$D$3:$D$7,0)),0),"")</f>
        <v>125</v>
      </c>
      <c r="H14" s="2" t="s">
        <v>51</v>
      </c>
      <c r="I14" s="2" t="s">
        <v>15</v>
      </c>
    </row>
    <row r="15" spans="1:9" x14ac:dyDescent="0.25">
      <c r="A15" s="2">
        <v>21</v>
      </c>
      <c r="B15" s="2" t="s">
        <v>55</v>
      </c>
      <c r="C15" s="2" t="s">
        <v>10</v>
      </c>
      <c r="D15" s="2" t="s">
        <v>56</v>
      </c>
      <c r="E15" s="2" t="s">
        <v>57</v>
      </c>
      <c r="F15" s="2" t="s">
        <v>13</v>
      </c>
      <c r="G15" s="2">
        <f>IFERROR(ROUND(INDEX(Настройки!$B$3:$B$9,MATCH($C15,Настройки!$A$3:$A$9,0))*INDEX(Настройки!$E$3:$E$7,MATCH($F15,Настройки!$D$3:$D$7,0)),0),"")</f>
        <v>125</v>
      </c>
      <c r="H15" s="2" t="s">
        <v>58</v>
      </c>
      <c r="I15" s="2" t="s">
        <v>15</v>
      </c>
    </row>
    <row r="16" spans="1:9" x14ac:dyDescent="0.25">
      <c r="A16" s="2">
        <v>22</v>
      </c>
      <c r="B16" s="2" t="s">
        <v>55</v>
      </c>
      <c r="C16" s="2" t="s">
        <v>10</v>
      </c>
      <c r="D16" s="2" t="s">
        <v>59</v>
      </c>
      <c r="E16" s="2" t="s">
        <v>60</v>
      </c>
      <c r="F16" s="2" t="s">
        <v>13</v>
      </c>
      <c r="G16" s="2">
        <f>IFERROR(ROUND(INDEX(Настройки!$B$3:$B$9,MATCH($C16,Настройки!$A$3:$A$9,0))*INDEX(Настройки!$E$3:$E$7,MATCH($F16,Настройки!$D$3:$D$7,0)),0),"")</f>
        <v>125</v>
      </c>
      <c r="H16" s="2" t="s">
        <v>61</v>
      </c>
      <c r="I16" s="2" t="s">
        <v>15</v>
      </c>
    </row>
    <row r="17" spans="1:9" x14ac:dyDescent="0.25">
      <c r="A17" s="2">
        <v>23</v>
      </c>
      <c r="B17" s="2" t="s">
        <v>62</v>
      </c>
      <c r="C17" s="2" t="s">
        <v>10</v>
      </c>
      <c r="D17" s="2" t="s">
        <v>63</v>
      </c>
      <c r="E17" s="2" t="s">
        <v>405</v>
      </c>
      <c r="F17" s="2" t="s">
        <v>13</v>
      </c>
      <c r="G17" s="2">
        <f>IFERROR(ROUND(INDEX(Настройки!$B$3:$B$9,MATCH($C17,Настройки!$A$3:$A$9,0))*INDEX(Настройки!$E$3:$E$7,MATCH($F17,Настройки!$D$3:$D$7,0)),0),"")</f>
        <v>125</v>
      </c>
      <c r="H17" s="2" t="s">
        <v>64</v>
      </c>
      <c r="I17" s="2" t="s">
        <v>15</v>
      </c>
    </row>
    <row r="18" spans="1:9" x14ac:dyDescent="0.25">
      <c r="A18" s="2">
        <v>24</v>
      </c>
      <c r="B18" s="2" t="s">
        <v>65</v>
      </c>
      <c r="C18" s="2" t="s">
        <v>10</v>
      </c>
      <c r="D18" s="2" t="s">
        <v>66</v>
      </c>
      <c r="E18" s="2" t="s">
        <v>67</v>
      </c>
      <c r="F18" s="2" t="s">
        <v>13</v>
      </c>
      <c r="G18" s="2">
        <f>IFERROR(ROUND(INDEX(Настройки!$B$3:$B$9,MATCH($C18,Настройки!$A$3:$A$9,0))*INDEX(Настройки!$E$3:$E$7,MATCH($F18,Настройки!$D$3:$D$7,0)),0),"")</f>
        <v>125</v>
      </c>
      <c r="H18" s="2" t="s">
        <v>68</v>
      </c>
      <c r="I18" s="2" t="s">
        <v>15</v>
      </c>
    </row>
    <row r="19" spans="1:9" x14ac:dyDescent="0.25">
      <c r="A19" s="2">
        <v>25</v>
      </c>
      <c r="B19" s="2" t="s">
        <v>69</v>
      </c>
      <c r="C19" s="2" t="s">
        <v>10</v>
      </c>
      <c r="D19" s="2" t="s">
        <v>70</v>
      </c>
      <c r="E19" s="10" t="s">
        <v>411</v>
      </c>
      <c r="F19" s="2" t="s">
        <v>13</v>
      </c>
      <c r="G19" s="2">
        <f>IFERROR(ROUND(INDEX(Настройки!$B$3:$B$9,MATCH($C19,Настройки!$A$3:$A$9,0))*INDEX(Настройки!$E$3:$E$7,MATCH($F19,Настройки!$D$3:$D$7,0)),0),"")</f>
        <v>125</v>
      </c>
      <c r="H19" s="2" t="s">
        <v>72</v>
      </c>
      <c r="I19" s="2" t="s">
        <v>15</v>
      </c>
    </row>
    <row r="20" spans="1:9" x14ac:dyDescent="0.25">
      <c r="A20" s="2">
        <v>26</v>
      </c>
      <c r="B20" s="2" t="s">
        <v>73</v>
      </c>
      <c r="C20" s="2" t="s">
        <v>10</v>
      </c>
      <c r="D20" s="2" t="s">
        <v>74</v>
      </c>
      <c r="E20" s="2" t="s">
        <v>75</v>
      </c>
      <c r="F20" s="2" t="s">
        <v>76</v>
      </c>
      <c r="G20" s="2">
        <f>IFERROR(ROUND(INDEX(Настройки!$B$3:$B$9,MATCH($C20,Настройки!$A$3:$A$9,0))*INDEX(Настройки!$E$3:$E$7,MATCH($F20,Настройки!$D$3:$D$7,0)),0),"")</f>
        <v>110</v>
      </c>
      <c r="H20" s="2" t="s">
        <v>77</v>
      </c>
      <c r="I20" s="2" t="s">
        <v>15</v>
      </c>
    </row>
    <row r="21" spans="1:9" x14ac:dyDescent="0.25">
      <c r="A21" s="2">
        <v>28</v>
      </c>
      <c r="B21" s="2" t="s">
        <v>16</v>
      </c>
      <c r="C21" s="2" t="s">
        <v>10</v>
      </c>
      <c r="D21" s="2" t="s">
        <v>78</v>
      </c>
      <c r="E21" s="2" t="s">
        <v>387</v>
      </c>
      <c r="F21" s="2" t="s">
        <v>76</v>
      </c>
      <c r="G21" s="2">
        <f>IFERROR(ROUND(INDEX(Настройки!$B$3:$B$9,MATCH($C21,Настройки!$A$3:$A$9,0))*INDEX(Настройки!$E$3:$E$7,MATCH($F21,Настройки!$D$3:$D$7,0)),0),"")</f>
        <v>110</v>
      </c>
      <c r="H21" s="2" t="s">
        <v>80</v>
      </c>
      <c r="I21" s="2" t="s">
        <v>15</v>
      </c>
    </row>
    <row r="22" spans="1:9" x14ac:dyDescent="0.25">
      <c r="A22" s="2">
        <v>31</v>
      </c>
      <c r="B22" s="2" t="s">
        <v>81</v>
      </c>
      <c r="C22" s="2" t="s">
        <v>10</v>
      </c>
      <c r="D22" s="2" t="s">
        <v>82</v>
      </c>
      <c r="E22" s="2" t="s">
        <v>83</v>
      </c>
      <c r="F22" s="2" t="s">
        <v>76</v>
      </c>
      <c r="G22" s="2">
        <f>IFERROR(ROUND(INDEX(Настройки!$B$3:$B$9,MATCH($C22,Настройки!$A$3:$A$9,0))*INDEX(Настройки!$E$3:$E$7,MATCH($F22,Настройки!$D$3:$D$7,0)),0),"")</f>
        <v>110</v>
      </c>
      <c r="H22" s="2" t="s">
        <v>84</v>
      </c>
      <c r="I22" s="2" t="s">
        <v>15</v>
      </c>
    </row>
    <row r="23" spans="1:9" x14ac:dyDescent="0.25">
      <c r="A23" s="2">
        <v>32</v>
      </c>
      <c r="B23" s="2" t="s">
        <v>41</v>
      </c>
      <c r="C23" s="2" t="s">
        <v>10</v>
      </c>
      <c r="D23" s="2" t="s">
        <v>85</v>
      </c>
      <c r="E23" s="2" t="s">
        <v>86</v>
      </c>
      <c r="F23" s="2" t="s">
        <v>76</v>
      </c>
      <c r="G23" s="2">
        <f>IFERROR(ROUND(INDEX(Настройки!$B$3:$B$9,MATCH($C23,Настройки!$A$3:$A$9,0))*INDEX(Настройки!$E$3:$E$7,MATCH($F23,Настройки!$D$3:$D$7,0)),0),"")</f>
        <v>110</v>
      </c>
      <c r="H23" s="2" t="s">
        <v>87</v>
      </c>
      <c r="I23" s="2" t="s">
        <v>15</v>
      </c>
    </row>
    <row r="24" spans="1:9" x14ac:dyDescent="0.25">
      <c r="A24" s="2">
        <v>35</v>
      </c>
      <c r="B24" s="2" t="s">
        <v>45</v>
      </c>
      <c r="C24" s="2" t="s">
        <v>113</v>
      </c>
      <c r="D24" s="2" t="s">
        <v>88</v>
      </c>
      <c r="E24" s="2" t="s">
        <v>89</v>
      </c>
      <c r="F24" s="2" t="s">
        <v>76</v>
      </c>
      <c r="G24" s="2">
        <f>IFERROR(ROUND(INDEX(Настройки!$B$3:$B$9,MATCH($C24,Настройки!$A$3:$A$9,0))*INDEX(Настройки!$E$3:$E$7,MATCH($F24,Настройки!$D$3:$D$7,0)),0),"")</f>
        <v>83</v>
      </c>
      <c r="H24" s="2" t="s">
        <v>109</v>
      </c>
      <c r="I24" s="2" t="s">
        <v>15</v>
      </c>
    </row>
    <row r="25" spans="1:9" x14ac:dyDescent="0.25">
      <c r="A25" s="2">
        <v>38</v>
      </c>
      <c r="B25" s="2" t="s">
        <v>90</v>
      </c>
      <c r="C25" s="2" t="s">
        <v>10</v>
      </c>
      <c r="D25" s="2" t="s">
        <v>91</v>
      </c>
      <c r="E25" s="2" t="s">
        <v>400</v>
      </c>
      <c r="F25" s="2" t="s">
        <v>76</v>
      </c>
      <c r="G25" s="2">
        <f>IFERROR(ROUND(INDEX(Настройки!$B$3:$B$9,MATCH($C25,Настройки!$A$3:$A$9,0))*INDEX(Настройки!$E$3:$E$7,MATCH($F25,Настройки!$D$3:$D$7,0)),0),"")</f>
        <v>110</v>
      </c>
      <c r="H25" s="2" t="s">
        <v>93</v>
      </c>
      <c r="I25" s="2" t="s">
        <v>15</v>
      </c>
    </row>
    <row r="26" spans="1:9" x14ac:dyDescent="0.25">
      <c r="A26" s="2">
        <v>40</v>
      </c>
      <c r="B26" s="2" t="s">
        <v>55</v>
      </c>
      <c r="C26" s="2" t="s">
        <v>10</v>
      </c>
      <c r="D26" s="2" t="s">
        <v>94</v>
      </c>
      <c r="E26" s="2" t="s">
        <v>404</v>
      </c>
      <c r="F26" s="2" t="s">
        <v>76</v>
      </c>
      <c r="G26" s="2">
        <f>IFERROR(ROUND(INDEX(Настройки!$B$3:$B$9,MATCH($C26,Настройки!$A$3:$A$9,0))*INDEX(Настройки!$E$3:$E$7,MATCH($F26,Настройки!$D$3:$D$7,0)),0),"")</f>
        <v>110</v>
      </c>
      <c r="H26" s="2" t="s">
        <v>96</v>
      </c>
      <c r="I26" s="2" t="s">
        <v>15</v>
      </c>
    </row>
    <row r="27" spans="1:9" x14ac:dyDescent="0.25">
      <c r="A27" s="2">
        <v>41</v>
      </c>
      <c r="B27" s="2" t="s">
        <v>62</v>
      </c>
      <c r="C27" s="2" t="s">
        <v>10</v>
      </c>
      <c r="D27" s="2" t="s">
        <v>97</v>
      </c>
      <c r="E27" s="2" t="s">
        <v>408</v>
      </c>
      <c r="F27" s="2" t="s">
        <v>76</v>
      </c>
      <c r="G27" s="2">
        <f>IFERROR(ROUND(INDEX(Настройки!$B$3:$B$9,MATCH($C27,Настройки!$A$3:$A$9,0))*INDEX(Настройки!$E$3:$E$7,MATCH($F27,Настройки!$D$3:$D$7,0)),0),"")</f>
        <v>110</v>
      </c>
      <c r="H27" s="2" t="s">
        <v>98</v>
      </c>
      <c r="I27" s="2" t="s">
        <v>15</v>
      </c>
    </row>
    <row r="28" spans="1:9" x14ac:dyDescent="0.25">
      <c r="A28" s="2">
        <v>42</v>
      </c>
      <c r="B28" s="2" t="s">
        <v>65</v>
      </c>
      <c r="C28" s="2" t="s">
        <v>10</v>
      </c>
      <c r="D28" s="2" t="s">
        <v>99</v>
      </c>
      <c r="E28" s="2" t="s">
        <v>100</v>
      </c>
      <c r="F28" s="2" t="s">
        <v>76</v>
      </c>
      <c r="G28" s="2">
        <f>IFERROR(ROUND(INDEX(Настройки!$B$3:$B$9,MATCH($C28,Настройки!$A$3:$A$9,0))*INDEX(Настройки!$E$3:$E$7,MATCH($F28,Настройки!$D$3:$D$7,0)),0),"")</f>
        <v>110</v>
      </c>
      <c r="H28" s="2" t="s">
        <v>101</v>
      </c>
      <c r="I28" s="2" t="s">
        <v>15</v>
      </c>
    </row>
    <row r="29" spans="1:9" x14ac:dyDescent="0.25">
      <c r="A29" s="2">
        <v>47</v>
      </c>
      <c r="B29" s="2" t="s">
        <v>55</v>
      </c>
      <c r="C29" s="2" t="s">
        <v>10</v>
      </c>
      <c r="D29" s="2" t="s">
        <v>102</v>
      </c>
      <c r="E29" s="2" t="s">
        <v>403</v>
      </c>
      <c r="F29" s="2" t="s">
        <v>104</v>
      </c>
      <c r="G29" s="2">
        <f>IFERROR(ROUND(INDEX(Настройки!$B$3:$B$9,MATCH($C29,Настройки!$A$3:$A$9,0))*INDEX(Настройки!$E$3:$E$7,MATCH($F29,Настройки!$D$3:$D$7,0)),0),"")</f>
        <v>100</v>
      </c>
      <c r="H29" s="2" t="s">
        <v>105</v>
      </c>
      <c r="I29" s="2" t="s">
        <v>15</v>
      </c>
    </row>
    <row r="30" spans="1:9" x14ac:dyDescent="0.25">
      <c r="A30" s="2">
        <v>48</v>
      </c>
      <c r="B30" s="2" t="s">
        <v>45</v>
      </c>
      <c r="C30" s="2" t="s">
        <v>10</v>
      </c>
      <c r="D30" s="2" t="s">
        <v>106</v>
      </c>
      <c r="E30" s="2" t="s">
        <v>107</v>
      </c>
      <c r="F30" s="2" t="s">
        <v>108</v>
      </c>
      <c r="G30" s="2">
        <f>IFERROR(ROUND(INDEX(Настройки!$B$3:$B$9,MATCH($C30,Настройки!$A$3:$A$9,0))*INDEX(Настройки!$E$3:$E$7,MATCH($F30,Настройки!$D$3:$D$7,0)),0),"")</f>
        <v>85</v>
      </c>
      <c r="H30" s="2" t="s">
        <v>109</v>
      </c>
      <c r="I30" s="2" t="s">
        <v>15</v>
      </c>
    </row>
    <row r="31" spans="1:9" x14ac:dyDescent="0.25">
      <c r="A31" s="2">
        <v>49</v>
      </c>
      <c r="B31" s="2" t="s">
        <v>90</v>
      </c>
      <c r="C31" s="2" t="s">
        <v>10</v>
      </c>
      <c r="D31" s="2" t="s">
        <v>110</v>
      </c>
      <c r="E31" s="2" t="s">
        <v>111</v>
      </c>
      <c r="F31" s="2" t="s">
        <v>108</v>
      </c>
      <c r="G31" s="2">
        <f>IFERROR(ROUND(INDEX(Настройки!$B$3:$B$9,MATCH($C31,Настройки!$A$3:$A$9,0))*INDEX(Настройки!$E$3:$E$7,MATCH($F31,Настройки!$D$3:$D$7,0)),0),"")</f>
        <v>85</v>
      </c>
      <c r="H31" s="2" t="s">
        <v>112</v>
      </c>
      <c r="I31" s="2" t="s">
        <v>15</v>
      </c>
    </row>
    <row r="32" spans="1:9" x14ac:dyDescent="0.25">
      <c r="A32" s="2">
        <v>52</v>
      </c>
      <c r="B32" s="2" t="s">
        <v>9</v>
      </c>
      <c r="C32" s="2" t="s">
        <v>113</v>
      </c>
      <c r="D32" s="2" t="s">
        <v>114</v>
      </c>
      <c r="E32" s="2" t="s">
        <v>115</v>
      </c>
      <c r="F32" s="2" t="s">
        <v>76</v>
      </c>
      <c r="G32" s="2">
        <f>IFERROR(ROUND(INDEX(Настройки!$B$3:$B$9,MATCH($C32,Настройки!$A$3:$A$9,0))*INDEX(Настройки!$E$3:$E$7,MATCH($F32,Настройки!$D$3:$D$7,0)),0),"")</f>
        <v>83</v>
      </c>
      <c r="H32" s="2" t="s">
        <v>14</v>
      </c>
      <c r="I32" s="2" t="s">
        <v>15</v>
      </c>
    </row>
    <row r="33" spans="1:9" x14ac:dyDescent="0.25">
      <c r="A33" s="2">
        <v>53</v>
      </c>
      <c r="B33" s="2" t="s">
        <v>16</v>
      </c>
      <c r="C33" s="2" t="s">
        <v>113</v>
      </c>
      <c r="D33" s="2" t="s">
        <v>116</v>
      </c>
      <c r="E33" s="2" t="s">
        <v>117</v>
      </c>
      <c r="F33" s="2" t="s">
        <v>76</v>
      </c>
      <c r="G33" s="2">
        <f>IFERROR(ROUND(INDEX(Настройки!$B$3:$B$9,MATCH($C33,Настройки!$A$3:$A$9,0))*INDEX(Настройки!$E$3:$E$7,MATCH($F33,Настройки!$D$3:$D$7,0)),0),"")</f>
        <v>83</v>
      </c>
      <c r="H33" s="2" t="s">
        <v>22</v>
      </c>
      <c r="I33" s="2" t="s">
        <v>15</v>
      </c>
    </row>
    <row r="34" spans="1:9" x14ac:dyDescent="0.25">
      <c r="A34" s="2">
        <v>54</v>
      </c>
      <c r="B34" s="2" t="s">
        <v>16</v>
      </c>
      <c r="C34" s="2" t="s">
        <v>236</v>
      </c>
      <c r="D34" s="2" t="s">
        <v>118</v>
      </c>
      <c r="E34" s="2" t="s">
        <v>388</v>
      </c>
      <c r="F34" s="2" t="s">
        <v>108</v>
      </c>
      <c r="G34" s="2">
        <f>IFERROR(ROUND(INDEX(Настройки!$B$3:$B$9,MATCH($C34,Настройки!$A$3:$A$9,0))*INDEX(Настройки!$E$3:$E$7,MATCH($F34,Настройки!$D$3:$D$7,0)),0),"")</f>
        <v>38</v>
      </c>
      <c r="H34" s="2" t="s">
        <v>24</v>
      </c>
      <c r="I34" s="2" t="s">
        <v>15</v>
      </c>
    </row>
    <row r="35" spans="1:9" x14ac:dyDescent="0.25">
      <c r="A35" s="2">
        <v>55</v>
      </c>
      <c r="B35" s="2" t="s">
        <v>16</v>
      </c>
      <c r="C35" s="2" t="s">
        <v>113</v>
      </c>
      <c r="D35" s="2" t="s">
        <v>119</v>
      </c>
      <c r="E35" s="2" t="s">
        <v>120</v>
      </c>
      <c r="F35" s="2" t="s">
        <v>76</v>
      </c>
      <c r="G35" s="2">
        <f>IFERROR(ROUND(INDEX(Настройки!$B$3:$B$9,MATCH($C35,Настройки!$A$3:$A$9,0))*INDEX(Настройки!$E$3:$E$7,MATCH($F35,Настройки!$D$3:$D$7,0)),0),"")</f>
        <v>83</v>
      </c>
      <c r="H35" s="2" t="s">
        <v>19</v>
      </c>
      <c r="I35" s="2" t="s">
        <v>15</v>
      </c>
    </row>
    <row r="36" spans="1:9" x14ac:dyDescent="0.25">
      <c r="A36" s="2">
        <v>56</v>
      </c>
      <c r="B36" s="2" t="s">
        <v>25</v>
      </c>
      <c r="C36" s="2" t="s">
        <v>113</v>
      </c>
      <c r="D36" s="2" t="s">
        <v>121</v>
      </c>
      <c r="E36" s="2" t="s">
        <v>122</v>
      </c>
      <c r="F36" s="2" t="s">
        <v>76</v>
      </c>
      <c r="G36" s="2">
        <f>IFERROR(ROUND(INDEX(Настройки!$B$3:$B$9,MATCH($C36,Настройки!$A$3:$A$9,0))*INDEX(Настройки!$E$3:$E$7,MATCH($F36,Настройки!$D$3:$D$7,0)),0),"")</f>
        <v>83</v>
      </c>
      <c r="H36" s="2" t="s">
        <v>28</v>
      </c>
      <c r="I36" s="2" t="s">
        <v>15</v>
      </c>
    </row>
    <row r="37" spans="1:9" x14ac:dyDescent="0.25">
      <c r="A37" s="2">
        <v>57</v>
      </c>
      <c r="B37" s="2" t="s">
        <v>25</v>
      </c>
      <c r="C37" s="2" t="s">
        <v>113</v>
      </c>
      <c r="D37" s="2" t="s">
        <v>123</v>
      </c>
      <c r="E37" s="2" t="s">
        <v>392</v>
      </c>
      <c r="F37" s="2" t="s">
        <v>76</v>
      </c>
      <c r="G37" s="2">
        <f>IFERROR(ROUND(INDEX(Настройки!$B$3:$B$9,MATCH($C37,Настройки!$A$3:$A$9,0))*INDEX(Настройки!$E$3:$E$7,MATCH($F37,Настройки!$D$3:$D$7,0)),0),"")</f>
        <v>83</v>
      </c>
      <c r="H37" s="2" t="s">
        <v>397</v>
      </c>
      <c r="I37" s="2" t="s">
        <v>15</v>
      </c>
    </row>
    <row r="38" spans="1:9" x14ac:dyDescent="0.25">
      <c r="A38" s="2">
        <v>58</v>
      </c>
      <c r="B38" s="2" t="s">
        <v>32</v>
      </c>
      <c r="C38" s="2" t="s">
        <v>113</v>
      </c>
      <c r="D38" s="2" t="s">
        <v>124</v>
      </c>
      <c r="E38" s="2" t="s">
        <v>125</v>
      </c>
      <c r="F38" s="2" t="s">
        <v>76</v>
      </c>
      <c r="G38" s="2">
        <f>IFERROR(ROUND(INDEX(Настройки!$B$3:$B$9,MATCH($C38,Настройки!$A$3:$A$9,0))*INDEX(Настройки!$E$3:$E$7,MATCH($F38,Настройки!$D$3:$D$7,0)),0),"")</f>
        <v>83</v>
      </c>
      <c r="H38" s="2" t="s">
        <v>32</v>
      </c>
      <c r="I38" s="2" t="s">
        <v>15</v>
      </c>
    </row>
    <row r="39" spans="1:9" x14ac:dyDescent="0.25">
      <c r="A39" s="2">
        <v>59</v>
      </c>
      <c r="B39" s="2" t="s">
        <v>35</v>
      </c>
      <c r="C39" s="2" t="s">
        <v>113</v>
      </c>
      <c r="D39" s="2" t="s">
        <v>126</v>
      </c>
      <c r="E39" s="2" t="s">
        <v>39</v>
      </c>
      <c r="F39" s="2" t="s">
        <v>104</v>
      </c>
      <c r="G39" s="2">
        <f>IFERROR(ROUND(INDEX(Настройки!$B$3:$B$9,MATCH($C39,Настройки!$A$3:$A$9,0))*INDEX(Настройки!$E$3:$E$7,MATCH($F39,Настройки!$D$3:$D$7,0)),0),"")</f>
        <v>75</v>
      </c>
      <c r="H39" s="2" t="s">
        <v>40</v>
      </c>
      <c r="I39" s="2" t="s">
        <v>15</v>
      </c>
    </row>
    <row r="40" spans="1:9" x14ac:dyDescent="0.25">
      <c r="A40" s="2">
        <v>60</v>
      </c>
      <c r="B40" s="2" t="s">
        <v>41</v>
      </c>
      <c r="C40" s="2" t="s">
        <v>113</v>
      </c>
      <c r="D40" s="2" t="s">
        <v>127</v>
      </c>
      <c r="E40" s="2" t="s">
        <v>128</v>
      </c>
      <c r="F40" s="2" t="s">
        <v>76</v>
      </c>
      <c r="G40" s="2">
        <f>IFERROR(ROUND(INDEX(Настройки!$B$3:$B$9,MATCH($C40,Настройки!$A$3:$A$9,0))*INDEX(Настройки!$E$3:$E$7,MATCH($F40,Настройки!$D$3:$D$7,0)),0),"")</f>
        <v>83</v>
      </c>
      <c r="H40" s="2" t="s">
        <v>129</v>
      </c>
      <c r="I40" s="2" t="s">
        <v>15</v>
      </c>
    </row>
    <row r="41" spans="1:9" x14ac:dyDescent="0.25">
      <c r="A41" s="2">
        <v>61</v>
      </c>
      <c r="B41" s="2" t="s">
        <v>41</v>
      </c>
      <c r="C41" s="2" t="s">
        <v>113</v>
      </c>
      <c r="D41" s="2" t="s">
        <v>130</v>
      </c>
      <c r="E41" s="2" t="s">
        <v>131</v>
      </c>
      <c r="F41" s="2" t="s">
        <v>76</v>
      </c>
      <c r="G41" s="2">
        <f>IFERROR(ROUND(INDEX(Настройки!$B$3:$B$9,MATCH($C41,Настройки!$A$3:$A$9,0))*INDEX(Настройки!$E$3:$E$7,MATCH($F41,Настройки!$D$3:$D$7,0)),0),"")</f>
        <v>83</v>
      </c>
      <c r="H41" s="2" t="s">
        <v>44</v>
      </c>
      <c r="I41" s="2" t="s">
        <v>15</v>
      </c>
    </row>
    <row r="42" spans="1:9" x14ac:dyDescent="0.25">
      <c r="A42" s="2">
        <v>62</v>
      </c>
      <c r="B42" s="2" t="s">
        <v>45</v>
      </c>
      <c r="C42" s="2" t="s">
        <v>113</v>
      </c>
      <c r="D42" s="2" t="s">
        <v>132</v>
      </c>
      <c r="E42" s="2" t="s">
        <v>133</v>
      </c>
      <c r="F42" s="2" t="s">
        <v>76</v>
      </c>
      <c r="G42" s="2">
        <f>IFERROR(ROUND(INDEX(Настройки!$B$3:$B$9,MATCH($C42,Настройки!$A$3:$A$9,0))*INDEX(Настройки!$E$3:$E$7,MATCH($F42,Настройки!$D$3:$D$7,0)),0),"")</f>
        <v>83</v>
      </c>
      <c r="H42" s="2" t="s">
        <v>48</v>
      </c>
      <c r="I42" s="2" t="s">
        <v>15</v>
      </c>
    </row>
    <row r="43" spans="1:9" x14ac:dyDescent="0.25">
      <c r="A43" s="2">
        <v>63</v>
      </c>
      <c r="B43" s="2" t="s">
        <v>45</v>
      </c>
      <c r="C43" s="2" t="s">
        <v>113</v>
      </c>
      <c r="D43" s="2" t="s">
        <v>134</v>
      </c>
      <c r="E43" s="2" t="s">
        <v>135</v>
      </c>
      <c r="F43" s="2" t="s">
        <v>76</v>
      </c>
      <c r="G43" s="2">
        <f>IFERROR(ROUND(INDEX(Настройки!$B$3:$B$9,MATCH($C43,Настройки!$A$3:$A$9,0))*INDEX(Настройки!$E$3:$E$7,MATCH($F43,Настройки!$D$3:$D$7,0)),0),"")</f>
        <v>83</v>
      </c>
      <c r="H43" s="2" t="s">
        <v>52</v>
      </c>
      <c r="I43" s="2" t="s">
        <v>15</v>
      </c>
    </row>
    <row r="44" spans="1:9" x14ac:dyDescent="0.25">
      <c r="A44" s="2">
        <v>64</v>
      </c>
      <c r="B44" s="2" t="s">
        <v>45</v>
      </c>
      <c r="C44" s="2" t="s">
        <v>113</v>
      </c>
      <c r="D44" s="2" t="s">
        <v>136</v>
      </c>
      <c r="E44" s="2" t="s">
        <v>137</v>
      </c>
      <c r="F44" s="2" t="s">
        <v>76</v>
      </c>
      <c r="G44" s="2">
        <f>IFERROR(ROUND(INDEX(Настройки!$B$3:$B$9,MATCH($C44,Настройки!$A$3:$A$9,0))*INDEX(Настройки!$E$3:$E$7,MATCH($F44,Настройки!$D$3:$D$7,0)),0),"")</f>
        <v>83</v>
      </c>
      <c r="H44" s="2" t="s">
        <v>109</v>
      </c>
      <c r="I44" s="2" t="s">
        <v>15</v>
      </c>
    </row>
    <row r="45" spans="1:9" x14ac:dyDescent="0.25">
      <c r="A45" s="2">
        <v>67</v>
      </c>
      <c r="B45" s="2" t="s">
        <v>53</v>
      </c>
      <c r="C45" s="2" t="s">
        <v>10</v>
      </c>
      <c r="D45" s="2" t="s">
        <v>139</v>
      </c>
      <c r="E45" s="2" t="s">
        <v>385</v>
      </c>
      <c r="F45" s="2" t="s">
        <v>76</v>
      </c>
      <c r="G45" s="2">
        <f>IFERROR(ROUND(INDEX(Настройки!$B$3:$B$9,MATCH($C45,Настройки!$A$3:$A$9,0))*INDEX(Настройки!$E$3:$E$7,MATCH($F45,Настройки!$D$3:$D$7,0)),0),"")</f>
        <v>110</v>
      </c>
      <c r="H45" s="2" t="s">
        <v>37</v>
      </c>
      <c r="I45" s="2" t="s">
        <v>15</v>
      </c>
    </row>
    <row r="46" spans="1:9" x14ac:dyDescent="0.25">
      <c r="A46" s="2">
        <v>72</v>
      </c>
      <c r="B46" s="2" t="s">
        <v>55</v>
      </c>
      <c r="C46" s="2" t="s">
        <v>113</v>
      </c>
      <c r="D46" s="2" t="s">
        <v>140</v>
      </c>
      <c r="E46" s="2" t="s">
        <v>141</v>
      </c>
      <c r="F46" s="2" t="s">
        <v>76</v>
      </c>
      <c r="G46" s="2">
        <f>IFERROR(ROUND(INDEX(Настройки!$B$3:$B$9,MATCH($C46,Настройки!$A$3:$A$9,0))*INDEX(Настройки!$E$3:$E$7,MATCH($F46,Настройки!$D$3:$D$7,0)),0),"")</f>
        <v>83</v>
      </c>
      <c r="H46" s="2" t="s">
        <v>61</v>
      </c>
      <c r="I46" s="2" t="s">
        <v>15</v>
      </c>
    </row>
    <row r="47" spans="1:9" x14ac:dyDescent="0.25">
      <c r="A47" s="2">
        <v>73</v>
      </c>
      <c r="B47" s="2" t="s">
        <v>55</v>
      </c>
      <c r="C47" s="2" t="s">
        <v>113</v>
      </c>
      <c r="D47" s="2" t="s">
        <v>142</v>
      </c>
      <c r="E47" s="2" t="s">
        <v>143</v>
      </c>
      <c r="F47" s="2" t="s">
        <v>76</v>
      </c>
      <c r="G47" s="2">
        <f>IFERROR(ROUND(INDEX(Настройки!$B$3:$B$9,MATCH($C47,Настройки!$A$3:$A$9,0))*INDEX(Настройки!$E$3:$E$7,MATCH($F47,Настройки!$D$3:$D$7,0)),0),"")</f>
        <v>83</v>
      </c>
      <c r="H47" s="2" t="s">
        <v>58</v>
      </c>
      <c r="I47" s="2" t="s">
        <v>15</v>
      </c>
    </row>
    <row r="48" spans="1:9" x14ac:dyDescent="0.25">
      <c r="A48" s="2">
        <v>74</v>
      </c>
      <c r="B48" s="2" t="s">
        <v>73</v>
      </c>
      <c r="C48" s="2" t="s">
        <v>113</v>
      </c>
      <c r="D48" s="2" t="s">
        <v>144</v>
      </c>
      <c r="E48" s="2" t="s">
        <v>145</v>
      </c>
      <c r="F48" s="2" t="s">
        <v>104</v>
      </c>
      <c r="G48" s="2">
        <f>IFERROR(ROUND(INDEX(Настройки!$B$3:$B$9,MATCH($C48,Настройки!$A$3:$A$9,0))*INDEX(Настройки!$E$3:$E$7,MATCH($F48,Настройки!$D$3:$D$7,0)),0),"")</f>
        <v>75</v>
      </c>
      <c r="H48" s="2" t="s">
        <v>77</v>
      </c>
      <c r="I48" s="2" t="s">
        <v>15</v>
      </c>
    </row>
    <row r="49" spans="1:9" x14ac:dyDescent="0.25">
      <c r="A49" s="2">
        <v>75</v>
      </c>
      <c r="B49" s="2" t="s">
        <v>16</v>
      </c>
      <c r="C49" s="2" t="s">
        <v>113</v>
      </c>
      <c r="D49" s="2" t="s">
        <v>146</v>
      </c>
      <c r="E49" s="2" t="s">
        <v>79</v>
      </c>
      <c r="F49" s="2" t="s">
        <v>104</v>
      </c>
      <c r="G49" s="2">
        <f>IFERROR(ROUND(INDEX(Настройки!$B$3:$B$9,MATCH($C49,Настройки!$A$3:$A$9,0))*INDEX(Настройки!$E$3:$E$7,MATCH($F49,Настройки!$D$3:$D$7,0)),0),"")</f>
        <v>75</v>
      </c>
      <c r="H49" s="2" t="s">
        <v>80</v>
      </c>
      <c r="I49" s="2" t="s">
        <v>15</v>
      </c>
    </row>
    <row r="50" spans="1:9" x14ac:dyDescent="0.25">
      <c r="A50" s="2">
        <v>76</v>
      </c>
      <c r="B50" s="2" t="s">
        <v>25</v>
      </c>
      <c r="C50" s="2" t="s">
        <v>113</v>
      </c>
      <c r="D50" s="2" t="s">
        <v>147</v>
      </c>
      <c r="E50" s="2" t="s">
        <v>394</v>
      </c>
      <c r="F50" s="2" t="s">
        <v>104</v>
      </c>
      <c r="G50" s="2">
        <f>IFERROR(ROUND(INDEX(Настройки!$B$3:$B$9,MATCH($C50,Настройки!$A$3:$A$9,0))*INDEX(Настройки!$E$3:$E$7,MATCH($F50,Настройки!$D$3:$D$7,0)),0),"")</f>
        <v>75</v>
      </c>
      <c r="H50" s="2" t="s">
        <v>397</v>
      </c>
      <c r="I50" s="2" t="s">
        <v>15</v>
      </c>
    </row>
    <row r="51" spans="1:9" x14ac:dyDescent="0.25">
      <c r="A51" s="2">
        <v>77</v>
      </c>
      <c r="B51" s="2" t="s">
        <v>25</v>
      </c>
      <c r="C51" s="2" t="s">
        <v>113</v>
      </c>
      <c r="D51" s="2" t="s">
        <v>149</v>
      </c>
      <c r="E51" s="2" t="s">
        <v>393</v>
      </c>
      <c r="F51" s="2" t="s">
        <v>104</v>
      </c>
      <c r="G51" s="2">
        <f>IFERROR(ROUND(INDEX(Настройки!$B$3:$B$9,MATCH($C51,Настройки!$A$3:$A$9,0))*INDEX(Настройки!$E$3:$E$7,MATCH($F51,Настройки!$D$3:$D$7,0)),0),"")</f>
        <v>75</v>
      </c>
      <c r="H51" s="2" t="s">
        <v>397</v>
      </c>
      <c r="I51" s="2" t="s">
        <v>15</v>
      </c>
    </row>
    <row r="52" spans="1:9" x14ac:dyDescent="0.25">
      <c r="A52" s="2">
        <v>78</v>
      </c>
      <c r="B52" s="2" t="s">
        <v>81</v>
      </c>
      <c r="C52" s="2" t="s">
        <v>113</v>
      </c>
      <c r="D52" s="2" t="s">
        <v>150</v>
      </c>
      <c r="E52" s="2" t="s">
        <v>151</v>
      </c>
      <c r="F52" s="2" t="s">
        <v>104</v>
      </c>
      <c r="G52" s="2">
        <f>IFERROR(ROUND(INDEX(Настройки!$B$3:$B$9,MATCH($C52,Настройки!$A$3:$A$9,0))*INDEX(Настройки!$E$3:$E$7,MATCH($F52,Настройки!$D$3:$D$7,0)),0),"")</f>
        <v>75</v>
      </c>
      <c r="H52" s="2" t="s">
        <v>84</v>
      </c>
      <c r="I52" s="2" t="s">
        <v>15</v>
      </c>
    </row>
    <row r="53" spans="1:9" x14ac:dyDescent="0.25">
      <c r="A53" s="2">
        <v>79</v>
      </c>
      <c r="B53" s="2" t="s">
        <v>41</v>
      </c>
      <c r="C53" s="2" t="s">
        <v>113</v>
      </c>
      <c r="D53" s="2" t="s">
        <v>152</v>
      </c>
      <c r="E53" s="2" t="s">
        <v>153</v>
      </c>
      <c r="F53" s="2" t="s">
        <v>104</v>
      </c>
      <c r="G53" s="2">
        <f>IFERROR(ROUND(INDEX(Настройки!$B$3:$B$9,MATCH($C53,Настройки!$A$3:$A$9,0))*INDEX(Настройки!$E$3:$E$7,MATCH($F53,Настройки!$D$3:$D$7,0)),0),"")</f>
        <v>75</v>
      </c>
      <c r="H53" s="2" t="s">
        <v>87</v>
      </c>
      <c r="I53" s="2" t="s">
        <v>15</v>
      </c>
    </row>
    <row r="54" spans="1:9" x14ac:dyDescent="0.25">
      <c r="A54" s="2">
        <v>81</v>
      </c>
      <c r="B54" s="2" t="s">
        <v>45</v>
      </c>
      <c r="C54" s="2" t="s">
        <v>113</v>
      </c>
      <c r="D54" s="2" t="s">
        <v>154</v>
      </c>
      <c r="E54" s="2" t="s">
        <v>155</v>
      </c>
      <c r="F54" s="2" t="s">
        <v>104</v>
      </c>
      <c r="G54" s="2">
        <f>IFERROR(ROUND(INDEX(Настройки!$B$3:$B$9,MATCH($C54,Настройки!$A$3:$A$9,0))*INDEX(Настройки!$E$3:$E$7,MATCH($F54,Настройки!$D$3:$D$7,0)),0),"")</f>
        <v>75</v>
      </c>
      <c r="H54" s="2" t="s">
        <v>51</v>
      </c>
      <c r="I54" s="2" t="s">
        <v>15</v>
      </c>
    </row>
    <row r="55" spans="1:9" x14ac:dyDescent="0.25">
      <c r="A55" s="2">
        <v>82</v>
      </c>
      <c r="B55" s="2" t="s">
        <v>45</v>
      </c>
      <c r="C55" s="2" t="s">
        <v>171</v>
      </c>
      <c r="D55" s="2" t="s">
        <v>156</v>
      </c>
      <c r="E55" s="2" t="s">
        <v>157</v>
      </c>
      <c r="F55" s="2" t="s">
        <v>104</v>
      </c>
      <c r="G55" s="2">
        <f>IFERROR(ROUND(INDEX(Настройки!$B$3:$B$9,MATCH($C55,Настройки!$A$3:$A$9,0))*INDEX(Настройки!$E$3:$E$7,MATCH($F55,Настройки!$D$3:$D$7,0)),0),"")</f>
        <v>58</v>
      </c>
      <c r="H55" s="2" t="s">
        <v>109</v>
      </c>
      <c r="I55" s="2" t="s">
        <v>15</v>
      </c>
    </row>
    <row r="56" spans="1:9" x14ac:dyDescent="0.25">
      <c r="A56" s="2">
        <v>85</v>
      </c>
      <c r="B56" s="2" t="s">
        <v>90</v>
      </c>
      <c r="C56" s="2" t="s">
        <v>113</v>
      </c>
      <c r="D56" s="2" t="s">
        <v>158</v>
      </c>
      <c r="E56" s="2" t="s">
        <v>92</v>
      </c>
      <c r="F56" s="2" t="s">
        <v>104</v>
      </c>
      <c r="G56" s="2">
        <f>IFERROR(ROUND(INDEX(Настройки!$B$3:$B$9,MATCH($C56,Настройки!$A$3:$A$9,0))*INDEX(Настройки!$E$3:$E$7,MATCH($F56,Настройки!$D$3:$D$7,0)),0),"")</f>
        <v>75</v>
      </c>
      <c r="H56" s="2" t="s">
        <v>93</v>
      </c>
      <c r="I56" s="2" t="s">
        <v>15</v>
      </c>
    </row>
    <row r="57" spans="1:9" x14ac:dyDescent="0.25">
      <c r="A57" s="2">
        <v>88</v>
      </c>
      <c r="B57" s="2" t="s">
        <v>55</v>
      </c>
      <c r="C57" s="2" t="s">
        <v>113</v>
      </c>
      <c r="D57" s="2" t="s">
        <v>159</v>
      </c>
      <c r="E57" s="2" t="s">
        <v>95</v>
      </c>
      <c r="F57" s="2" t="s">
        <v>104</v>
      </c>
      <c r="G57" s="2">
        <f>IFERROR(ROUND(INDEX(Настройки!$B$3:$B$9,MATCH($C57,Настройки!$A$3:$A$9,0))*INDEX(Настройки!$E$3:$E$7,MATCH($F57,Настройки!$D$3:$D$7,0)),0),"")</f>
        <v>75</v>
      </c>
      <c r="H57" s="2" t="s">
        <v>96</v>
      </c>
      <c r="I57" s="2" t="s">
        <v>15</v>
      </c>
    </row>
    <row r="58" spans="1:9" x14ac:dyDescent="0.25">
      <c r="A58" s="2">
        <v>89</v>
      </c>
      <c r="B58" s="2" t="s">
        <v>62</v>
      </c>
      <c r="C58" s="2" t="s">
        <v>113</v>
      </c>
      <c r="D58" s="2" t="s">
        <v>160</v>
      </c>
      <c r="E58" s="2" t="s">
        <v>161</v>
      </c>
      <c r="F58" s="2" t="s">
        <v>104</v>
      </c>
      <c r="G58" s="2">
        <f>IFERROR(ROUND(INDEX(Настройки!$B$3:$B$9,MATCH($C58,Настройки!$A$3:$A$9,0))*INDEX(Настройки!$E$3:$E$7,MATCH($F58,Настройки!$D$3:$D$7,0)),0),"")</f>
        <v>75</v>
      </c>
      <c r="H58" s="2" t="s">
        <v>64</v>
      </c>
      <c r="I58" s="2" t="s">
        <v>15</v>
      </c>
    </row>
    <row r="59" spans="1:9" x14ac:dyDescent="0.25">
      <c r="A59" s="2">
        <v>90</v>
      </c>
      <c r="B59" s="2" t="s">
        <v>65</v>
      </c>
      <c r="C59" s="2" t="s">
        <v>113</v>
      </c>
      <c r="D59" s="2" t="s">
        <v>162</v>
      </c>
      <c r="E59" s="2" t="s">
        <v>163</v>
      </c>
      <c r="F59" s="2" t="s">
        <v>104</v>
      </c>
      <c r="G59" s="2">
        <f>IFERROR(ROUND(INDEX(Настройки!$B$3:$B$9,MATCH($C59,Настройки!$A$3:$A$9,0))*INDEX(Настройки!$E$3:$E$7,MATCH($F59,Настройки!$D$3:$D$7,0)),0),"")</f>
        <v>75</v>
      </c>
      <c r="H59" s="2" t="s">
        <v>68</v>
      </c>
      <c r="I59" s="2" t="s">
        <v>15</v>
      </c>
    </row>
    <row r="60" spans="1:9" x14ac:dyDescent="0.25">
      <c r="A60" s="2">
        <v>93</v>
      </c>
      <c r="B60" s="2" t="s">
        <v>90</v>
      </c>
      <c r="C60" s="2" t="s">
        <v>113</v>
      </c>
      <c r="D60" s="2" t="s">
        <v>164</v>
      </c>
      <c r="E60" s="2" t="s">
        <v>165</v>
      </c>
      <c r="F60" s="2" t="s">
        <v>108</v>
      </c>
      <c r="G60" s="2">
        <f>IFERROR(ROUND(INDEX(Настройки!$B$3:$B$9,MATCH($C60,Настройки!$A$3:$A$9,0))*INDEX(Настройки!$E$3:$E$7,MATCH($F60,Настройки!$D$3:$D$7,0)),0),"")</f>
        <v>64</v>
      </c>
      <c r="H60" s="2" t="s">
        <v>112</v>
      </c>
      <c r="I60" s="2" t="s">
        <v>15</v>
      </c>
    </row>
    <row r="61" spans="1:9" x14ac:dyDescent="0.25">
      <c r="A61" s="2">
        <v>94</v>
      </c>
      <c r="B61" s="2" t="s">
        <v>55</v>
      </c>
      <c r="C61" s="2" t="s">
        <v>113</v>
      </c>
      <c r="D61" s="2" t="s">
        <v>166</v>
      </c>
      <c r="E61" s="2" t="s">
        <v>167</v>
      </c>
      <c r="F61" s="2" t="s">
        <v>108</v>
      </c>
      <c r="G61" s="2">
        <f>IFERROR(ROUND(INDEX(Настройки!$B$3:$B$9,MATCH($C61,Настройки!$A$3:$A$9,0))*INDEX(Настройки!$E$3:$E$7,MATCH($F61,Настройки!$D$3:$D$7,0)),0),"")</f>
        <v>64</v>
      </c>
      <c r="H61" s="2" t="s">
        <v>168</v>
      </c>
      <c r="I61" s="2" t="s">
        <v>15</v>
      </c>
    </row>
    <row r="62" spans="1:9" x14ac:dyDescent="0.25">
      <c r="A62" s="2">
        <v>95</v>
      </c>
      <c r="B62" s="2" t="s">
        <v>55</v>
      </c>
      <c r="C62" s="2" t="s">
        <v>113</v>
      </c>
      <c r="D62" s="2" t="s">
        <v>169</v>
      </c>
      <c r="E62" s="2" t="s">
        <v>402</v>
      </c>
      <c r="F62" s="2" t="s">
        <v>108</v>
      </c>
      <c r="G62" s="2">
        <f>IFERROR(ROUND(INDEX(Настройки!$B$3:$B$9,MATCH($C62,Настройки!$A$3:$A$9,0))*INDEX(Настройки!$E$3:$E$7,MATCH($F62,Настройки!$D$3:$D$7,0)),0),"")</f>
        <v>64</v>
      </c>
      <c r="H62" s="2" t="s">
        <v>105</v>
      </c>
      <c r="I62" s="2" t="s">
        <v>15</v>
      </c>
    </row>
    <row r="63" spans="1:9" x14ac:dyDescent="0.25">
      <c r="A63" s="2">
        <v>96</v>
      </c>
      <c r="B63" s="2" t="s">
        <v>69</v>
      </c>
      <c r="C63" s="2" t="s">
        <v>113</v>
      </c>
      <c r="D63" s="2" t="s">
        <v>170</v>
      </c>
      <c r="E63" s="10" t="s">
        <v>71</v>
      </c>
      <c r="F63" s="2" t="s">
        <v>108</v>
      </c>
      <c r="G63" s="2">
        <f>IFERROR(ROUND(INDEX(Настройки!$B$3:$B$9,MATCH($C63,Настройки!$A$3:$A$9,0))*INDEX(Настройки!$E$3:$E$7,MATCH($F63,Настройки!$D$3:$D$7,0)),0),"")</f>
        <v>64</v>
      </c>
      <c r="H63" s="2" t="s">
        <v>72</v>
      </c>
      <c r="I63" s="2" t="s">
        <v>15</v>
      </c>
    </row>
    <row r="64" spans="1:9" x14ac:dyDescent="0.25">
      <c r="A64" s="2">
        <v>98</v>
      </c>
      <c r="B64" s="2" t="s">
        <v>90</v>
      </c>
      <c r="C64" s="2" t="s">
        <v>171</v>
      </c>
      <c r="D64" s="2" t="s">
        <v>172</v>
      </c>
      <c r="E64" s="2" t="s">
        <v>173</v>
      </c>
      <c r="F64" s="2" t="s">
        <v>76</v>
      </c>
      <c r="G64" s="2">
        <f>IFERROR(ROUND(INDEX(Настройки!$B$3:$B$9,MATCH($C64,Настройки!$A$3:$A$9,0))*INDEX(Настройки!$E$3:$E$7,MATCH($F64,Настройки!$D$3:$D$7,0)),0),"")</f>
        <v>64</v>
      </c>
      <c r="H64" s="2" t="s">
        <v>112</v>
      </c>
      <c r="I64" s="2" t="s">
        <v>15</v>
      </c>
    </row>
    <row r="65" spans="1:9" x14ac:dyDescent="0.25">
      <c r="A65" s="2">
        <v>99</v>
      </c>
      <c r="B65" s="2" t="s">
        <v>9</v>
      </c>
      <c r="C65" s="2" t="s">
        <v>171</v>
      </c>
      <c r="D65" s="2" t="s">
        <v>174</v>
      </c>
      <c r="E65" s="2" t="s">
        <v>175</v>
      </c>
      <c r="F65" s="2" t="s">
        <v>104</v>
      </c>
      <c r="G65" s="2">
        <f>IFERROR(ROUND(INDEX(Настройки!$B$3:$B$9,MATCH($C65,Настройки!$A$3:$A$9,0))*INDEX(Настройки!$E$3:$E$7,MATCH($F65,Настройки!$D$3:$D$7,0)),0),"")</f>
        <v>58</v>
      </c>
      <c r="H65" s="2" t="s">
        <v>14</v>
      </c>
      <c r="I65" s="2" t="s">
        <v>15</v>
      </c>
    </row>
    <row r="66" spans="1:9" x14ac:dyDescent="0.25">
      <c r="A66" s="2">
        <v>100</v>
      </c>
      <c r="B66" s="2" t="s">
        <v>25</v>
      </c>
      <c r="C66" s="2" t="s">
        <v>171</v>
      </c>
      <c r="D66" s="2" t="s">
        <v>176</v>
      </c>
      <c r="E66" s="2" t="s">
        <v>30</v>
      </c>
      <c r="F66" s="2" t="s">
        <v>104</v>
      </c>
      <c r="G66" s="2">
        <f>IFERROR(ROUND(INDEX(Настройки!$B$3:$B$9,MATCH($C66,Настройки!$A$3:$A$9,0))*INDEX(Настройки!$E$3:$E$7,MATCH($F66,Настройки!$D$3:$D$7,0)),0),"")</f>
        <v>58</v>
      </c>
      <c r="H66" s="2" t="s">
        <v>397</v>
      </c>
      <c r="I66" s="2" t="s">
        <v>15</v>
      </c>
    </row>
    <row r="67" spans="1:9" x14ac:dyDescent="0.25">
      <c r="A67" s="2">
        <v>101</v>
      </c>
      <c r="B67" s="2" t="s">
        <v>25</v>
      </c>
      <c r="C67" s="2" t="s">
        <v>171</v>
      </c>
      <c r="D67" s="2" t="s">
        <v>177</v>
      </c>
      <c r="E67" s="2" t="s">
        <v>148</v>
      </c>
      <c r="F67" s="2" t="s">
        <v>104</v>
      </c>
      <c r="G67" s="2">
        <f>IFERROR(ROUND(INDEX(Настройки!$B$3:$B$9,MATCH($C67,Настройки!$A$3:$A$9,0))*INDEX(Настройки!$E$3:$E$7,MATCH($F67,Настройки!$D$3:$D$7,0)),0),"")</f>
        <v>58</v>
      </c>
      <c r="H67" s="2" t="s">
        <v>397</v>
      </c>
      <c r="I67" s="2" t="s">
        <v>15</v>
      </c>
    </row>
    <row r="68" spans="1:9" x14ac:dyDescent="0.25">
      <c r="A68" s="2">
        <v>103</v>
      </c>
      <c r="B68" s="2" t="s">
        <v>25</v>
      </c>
      <c r="C68" s="2" t="s">
        <v>171</v>
      </c>
      <c r="D68" s="2" t="s">
        <v>178</v>
      </c>
      <c r="E68" s="2" t="s">
        <v>391</v>
      </c>
      <c r="F68" s="2" t="s">
        <v>104</v>
      </c>
      <c r="G68" s="2">
        <f>IFERROR(ROUND(INDEX(Настройки!$B$3:$B$9,MATCH($C68,Настройки!$A$3:$A$9,0))*INDEX(Настройки!$E$3:$E$7,MATCH($F68,Настройки!$D$3:$D$7,0)),0),"")</f>
        <v>58</v>
      </c>
      <c r="H68" s="2" t="s">
        <v>397</v>
      </c>
      <c r="I68" s="2" t="s">
        <v>15</v>
      </c>
    </row>
    <row r="69" spans="1:9" x14ac:dyDescent="0.25">
      <c r="A69" s="2">
        <v>104</v>
      </c>
      <c r="B69" s="2" t="s">
        <v>32</v>
      </c>
      <c r="C69" s="2" t="s">
        <v>171</v>
      </c>
      <c r="D69" s="2" t="s">
        <v>179</v>
      </c>
      <c r="E69" s="2" t="s">
        <v>180</v>
      </c>
      <c r="F69" s="2" t="s">
        <v>104</v>
      </c>
      <c r="G69" s="2">
        <f>IFERROR(ROUND(INDEX(Настройки!$B$3:$B$9,MATCH($C69,Настройки!$A$3:$A$9,0))*INDEX(Настройки!$E$3:$E$7,MATCH($F69,Настройки!$D$3:$D$7,0)),0),"")</f>
        <v>58</v>
      </c>
      <c r="H69" s="2" t="s">
        <v>32</v>
      </c>
      <c r="I69" s="2" t="s">
        <v>15</v>
      </c>
    </row>
    <row r="70" spans="1:9" x14ac:dyDescent="0.25">
      <c r="A70" s="2">
        <v>105</v>
      </c>
      <c r="B70" s="2" t="s">
        <v>35</v>
      </c>
      <c r="C70" s="2" t="s">
        <v>171</v>
      </c>
      <c r="D70" s="2" t="s">
        <v>181</v>
      </c>
      <c r="E70" s="2" t="s">
        <v>384</v>
      </c>
      <c r="F70" s="2" t="s">
        <v>104</v>
      </c>
      <c r="G70" s="2">
        <f>IFERROR(ROUND(INDEX(Настройки!$B$3:$B$9,MATCH($C70,Настройки!$A$3:$A$9,0))*INDEX(Настройки!$E$3:$E$7,MATCH($F70,Настройки!$D$3:$D$7,0)),0),"")</f>
        <v>58</v>
      </c>
      <c r="H70" s="2" t="s">
        <v>40</v>
      </c>
      <c r="I70" s="2" t="s">
        <v>15</v>
      </c>
    </row>
    <row r="71" spans="1:9" x14ac:dyDescent="0.25">
      <c r="A71" s="2">
        <v>106</v>
      </c>
      <c r="B71" s="2" t="s">
        <v>41</v>
      </c>
      <c r="C71" s="2" t="s">
        <v>171</v>
      </c>
      <c r="D71" s="2" t="s">
        <v>182</v>
      </c>
      <c r="E71" s="2" t="s">
        <v>183</v>
      </c>
      <c r="F71" s="2" t="s">
        <v>104</v>
      </c>
      <c r="G71" s="2">
        <f>IFERROR(ROUND(INDEX(Настройки!$B$3:$B$9,MATCH($C71,Настройки!$A$3:$A$9,0))*INDEX(Настройки!$E$3:$E$7,MATCH($F71,Настройки!$D$3:$D$7,0)),0),"")</f>
        <v>58</v>
      </c>
      <c r="H71" s="2" t="s">
        <v>87</v>
      </c>
      <c r="I71" s="2" t="s">
        <v>15</v>
      </c>
    </row>
    <row r="72" spans="1:9" x14ac:dyDescent="0.25">
      <c r="A72" s="2">
        <v>107</v>
      </c>
      <c r="B72" s="2" t="s">
        <v>41</v>
      </c>
      <c r="C72" s="2" t="s">
        <v>171</v>
      </c>
      <c r="D72" s="2" t="s">
        <v>184</v>
      </c>
      <c r="E72" s="2" t="s">
        <v>185</v>
      </c>
      <c r="F72" s="2" t="s">
        <v>104</v>
      </c>
      <c r="G72" s="2">
        <f>IFERROR(ROUND(INDEX(Настройки!$B$3:$B$9,MATCH($C72,Настройки!$A$3:$A$9,0))*INDEX(Настройки!$E$3:$E$7,MATCH($F72,Настройки!$D$3:$D$7,0)),0),"")</f>
        <v>58</v>
      </c>
      <c r="H72" s="2" t="s">
        <v>186</v>
      </c>
      <c r="I72" s="2" t="s">
        <v>15</v>
      </c>
    </row>
    <row r="73" spans="1:9" x14ac:dyDescent="0.25">
      <c r="A73" s="2">
        <v>108</v>
      </c>
      <c r="B73" s="2" t="s">
        <v>41</v>
      </c>
      <c r="C73" s="2" t="s">
        <v>171</v>
      </c>
      <c r="D73" s="2" t="s">
        <v>187</v>
      </c>
      <c r="E73" s="2" t="s">
        <v>188</v>
      </c>
      <c r="F73" s="2" t="s">
        <v>104</v>
      </c>
      <c r="G73" s="2">
        <f>IFERROR(ROUND(INDEX(Настройки!$B$3:$B$9,MATCH($C73,Настройки!$A$3:$A$9,0))*INDEX(Настройки!$E$3:$E$7,MATCH($F73,Настройки!$D$3:$D$7,0)),0),"")</f>
        <v>58</v>
      </c>
      <c r="H73" s="2" t="s">
        <v>44</v>
      </c>
      <c r="I73" s="2" t="s">
        <v>15</v>
      </c>
    </row>
    <row r="74" spans="1:9" x14ac:dyDescent="0.25">
      <c r="A74" s="2">
        <v>109</v>
      </c>
      <c r="B74" s="2" t="s">
        <v>41</v>
      </c>
      <c r="C74" s="2" t="s">
        <v>171</v>
      </c>
      <c r="D74" s="2" t="s">
        <v>189</v>
      </c>
      <c r="E74" s="2" t="s">
        <v>190</v>
      </c>
      <c r="F74" s="2" t="s">
        <v>104</v>
      </c>
      <c r="G74" s="2">
        <f>IFERROR(ROUND(INDEX(Настройки!$B$3:$B$9,MATCH($C74,Настройки!$A$3:$A$9,0))*INDEX(Настройки!$E$3:$E$7,MATCH($F74,Настройки!$D$3:$D$7,0)),0),"")</f>
        <v>58</v>
      </c>
      <c r="H74" s="2" t="s">
        <v>129</v>
      </c>
      <c r="I74" s="2" t="s">
        <v>15</v>
      </c>
    </row>
    <row r="75" spans="1:9" x14ac:dyDescent="0.25">
      <c r="A75" s="2">
        <v>110</v>
      </c>
      <c r="B75" s="2" t="s">
        <v>45</v>
      </c>
      <c r="C75" s="2" t="s">
        <v>171</v>
      </c>
      <c r="D75" s="2" t="s">
        <v>191</v>
      </c>
      <c r="E75" s="2" t="s">
        <v>192</v>
      </c>
      <c r="F75" s="2" t="s">
        <v>104</v>
      </c>
      <c r="G75" s="2">
        <f>IFERROR(ROUND(INDEX(Настройки!$B$3:$B$9,MATCH($C75,Настройки!$A$3:$A$9,0))*INDEX(Настройки!$E$3:$E$7,MATCH($F75,Настройки!$D$3:$D$7,0)),0),"")</f>
        <v>58</v>
      </c>
      <c r="H75" s="2" t="s">
        <v>109</v>
      </c>
      <c r="I75" s="2" t="s">
        <v>15</v>
      </c>
    </row>
    <row r="76" spans="1:9" x14ac:dyDescent="0.25">
      <c r="A76" s="2">
        <v>111</v>
      </c>
      <c r="B76" s="2" t="s">
        <v>45</v>
      </c>
      <c r="C76" s="2" t="s">
        <v>171</v>
      </c>
      <c r="D76" s="2" t="s">
        <v>193</v>
      </c>
      <c r="E76" s="2" t="s">
        <v>194</v>
      </c>
      <c r="F76" s="2" t="s">
        <v>104</v>
      </c>
      <c r="G76" s="2">
        <f>IFERROR(ROUND(INDEX(Настройки!$B$3:$B$9,MATCH($C76,Настройки!$A$3:$A$9,0))*INDEX(Настройки!$E$3:$E$7,MATCH($F76,Настройки!$D$3:$D$7,0)),0),"")</f>
        <v>58</v>
      </c>
      <c r="H76" s="2" t="s">
        <v>51</v>
      </c>
      <c r="I76" s="2" t="s">
        <v>15</v>
      </c>
    </row>
    <row r="77" spans="1:9" x14ac:dyDescent="0.25">
      <c r="A77" s="2">
        <v>112</v>
      </c>
      <c r="B77" s="2" t="s">
        <v>45</v>
      </c>
      <c r="C77" s="2" t="s">
        <v>236</v>
      </c>
      <c r="D77" s="2" t="s">
        <v>195</v>
      </c>
      <c r="E77" s="2" t="s">
        <v>196</v>
      </c>
      <c r="F77" s="2" t="s">
        <v>104</v>
      </c>
      <c r="G77" s="2">
        <f>IFERROR(ROUND(INDEX(Настройки!$B$3:$B$9,MATCH($C77,Настройки!$A$3:$A$9,0))*INDEX(Настройки!$E$3:$E$7,MATCH($F77,Настройки!$D$3:$D$7,0)),0),"")</f>
        <v>45</v>
      </c>
      <c r="H77" s="2" t="s">
        <v>109</v>
      </c>
      <c r="I77" s="2" t="s">
        <v>15</v>
      </c>
    </row>
    <row r="78" spans="1:9" x14ac:dyDescent="0.25">
      <c r="A78" s="2">
        <v>117</v>
      </c>
      <c r="B78" s="2" t="s">
        <v>53</v>
      </c>
      <c r="C78" s="2" t="s">
        <v>113</v>
      </c>
      <c r="D78" s="2" t="s">
        <v>197</v>
      </c>
      <c r="E78" s="2" t="s">
        <v>398</v>
      </c>
      <c r="F78" s="2" t="s">
        <v>104</v>
      </c>
      <c r="G78" s="2">
        <f>IFERROR(ROUND(INDEX(Настройки!$B$3:$B$9,MATCH($C78,Настройки!$A$3:$A$9,0))*INDEX(Настройки!$E$3:$E$7,MATCH($F78,Настройки!$D$3:$D$7,0)),0),"")</f>
        <v>75</v>
      </c>
      <c r="H78" s="2" t="s">
        <v>37</v>
      </c>
      <c r="I78" s="2" t="s">
        <v>15</v>
      </c>
    </row>
    <row r="79" spans="1:9" x14ac:dyDescent="0.25">
      <c r="A79" s="2">
        <v>118</v>
      </c>
      <c r="B79" s="2" t="s">
        <v>55</v>
      </c>
      <c r="C79" s="2" t="s">
        <v>171</v>
      </c>
      <c r="D79" s="2" t="s">
        <v>198</v>
      </c>
      <c r="E79" s="2" t="s">
        <v>401</v>
      </c>
      <c r="F79" s="2" t="s">
        <v>104</v>
      </c>
      <c r="G79" s="2">
        <f>IFERROR(ROUND(INDEX(Настройки!$B$3:$B$9,MATCH($C79,Настройки!$A$3:$A$9,0))*INDEX(Настройки!$E$3:$E$7,MATCH($F79,Настройки!$D$3:$D$7,0)),0),"")</f>
        <v>58</v>
      </c>
      <c r="H79" s="2" t="s">
        <v>96</v>
      </c>
      <c r="I79" s="2" t="s">
        <v>15</v>
      </c>
    </row>
    <row r="80" spans="1:9" x14ac:dyDescent="0.25">
      <c r="A80" s="2">
        <v>119</v>
      </c>
      <c r="B80" s="2" t="s">
        <v>55</v>
      </c>
      <c r="C80" s="2" t="s">
        <v>171</v>
      </c>
      <c r="D80" s="2" t="s">
        <v>200</v>
      </c>
      <c r="E80" s="2" t="s">
        <v>201</v>
      </c>
      <c r="F80" s="2" t="s">
        <v>104</v>
      </c>
      <c r="G80" s="2">
        <f>IFERROR(ROUND(INDEX(Настройки!$B$3:$B$9,MATCH($C80,Настройки!$A$3:$A$9,0))*INDEX(Настройки!$E$3:$E$7,MATCH($F80,Настройки!$D$3:$D$7,0)),0),"")</f>
        <v>58</v>
      </c>
      <c r="H80" s="2" t="s">
        <v>202</v>
      </c>
      <c r="I80" s="2" t="s">
        <v>15</v>
      </c>
    </row>
    <row r="81" spans="1:9" x14ac:dyDescent="0.25">
      <c r="A81" s="2">
        <v>120</v>
      </c>
      <c r="B81" s="2" t="s">
        <v>65</v>
      </c>
      <c r="C81" s="2" t="s">
        <v>171</v>
      </c>
      <c r="D81" s="2" t="s">
        <v>203</v>
      </c>
      <c r="E81" s="2" t="s">
        <v>204</v>
      </c>
      <c r="F81" s="2" t="s">
        <v>104</v>
      </c>
      <c r="G81" s="2">
        <f>IFERROR(ROUND(INDEX(Настройки!$B$3:$B$9,MATCH($C81,Настройки!$A$3:$A$9,0))*INDEX(Настройки!$E$3:$E$7,MATCH($F81,Настройки!$D$3:$D$7,0)),0),"")</f>
        <v>58</v>
      </c>
      <c r="H81" s="2" t="s">
        <v>101</v>
      </c>
      <c r="I81" s="2" t="s">
        <v>15</v>
      </c>
    </row>
    <row r="82" spans="1:9" x14ac:dyDescent="0.25">
      <c r="A82" s="2">
        <v>121</v>
      </c>
      <c r="B82" s="2" t="s">
        <v>205</v>
      </c>
      <c r="C82" s="2" t="s">
        <v>171</v>
      </c>
      <c r="D82" s="2" t="s">
        <v>206</v>
      </c>
      <c r="E82" s="2" t="s">
        <v>207</v>
      </c>
      <c r="F82" s="2" t="s">
        <v>104</v>
      </c>
      <c r="G82" s="2">
        <f>IFERROR(ROUND(INDEX(Настройки!$B$3:$B$9,MATCH($C82,Настройки!$A$3:$A$9,0))*INDEX(Настройки!$E$3:$E$7,MATCH($F82,Настройки!$D$3:$D$7,0)),0),"")</f>
        <v>58</v>
      </c>
      <c r="H82" s="2" t="s">
        <v>208</v>
      </c>
      <c r="I82" s="2" t="s">
        <v>15</v>
      </c>
    </row>
    <row r="83" spans="1:9" x14ac:dyDescent="0.25">
      <c r="A83" s="2">
        <v>125</v>
      </c>
      <c r="B83" s="2" t="s">
        <v>9</v>
      </c>
      <c r="C83" s="2" t="s">
        <v>171</v>
      </c>
      <c r="D83" s="2" t="s">
        <v>209</v>
      </c>
      <c r="E83" s="2" t="s">
        <v>210</v>
      </c>
      <c r="F83" s="2" t="s">
        <v>108</v>
      </c>
      <c r="G83" s="2">
        <f>IFERROR(ROUND(INDEX(Настройки!$B$3:$B$9,MATCH($C83,Настройки!$A$3:$A$9,0))*INDEX(Настройки!$E$3:$E$7,MATCH($F83,Настройки!$D$3:$D$7,0)),0),"")</f>
        <v>49</v>
      </c>
      <c r="H83" s="2" t="s">
        <v>211</v>
      </c>
      <c r="I83" s="2" t="s">
        <v>15</v>
      </c>
    </row>
    <row r="84" spans="1:9" x14ac:dyDescent="0.25">
      <c r="A84" s="2">
        <v>126</v>
      </c>
      <c r="B84" s="2" t="s">
        <v>16</v>
      </c>
      <c r="C84" s="2" t="s">
        <v>171</v>
      </c>
      <c r="D84" s="2" t="s">
        <v>212</v>
      </c>
      <c r="E84" s="2" t="s">
        <v>213</v>
      </c>
      <c r="F84" s="2" t="s">
        <v>108</v>
      </c>
      <c r="G84" s="2">
        <f>IFERROR(ROUND(INDEX(Настройки!$B$3:$B$9,MATCH($C84,Настройки!$A$3:$A$9,0))*INDEX(Настройки!$E$3:$E$7,MATCH($F84,Настройки!$D$3:$D$7,0)),0),"")</f>
        <v>49</v>
      </c>
      <c r="H84" s="2" t="s">
        <v>214</v>
      </c>
      <c r="I84" s="2" t="s">
        <v>15</v>
      </c>
    </row>
    <row r="85" spans="1:9" x14ac:dyDescent="0.25">
      <c r="A85" s="2">
        <v>127</v>
      </c>
      <c r="B85" s="2" t="s">
        <v>16</v>
      </c>
      <c r="C85" s="2" t="s">
        <v>171</v>
      </c>
      <c r="D85" s="2" t="s">
        <v>215</v>
      </c>
      <c r="E85" s="2" t="s">
        <v>386</v>
      </c>
      <c r="F85" s="2" t="s">
        <v>108</v>
      </c>
      <c r="G85" s="2">
        <f>IFERROR(ROUND(INDEX(Настройки!$B$3:$B$9,MATCH($C85,Настройки!$A$3:$A$9,0))*INDEX(Настройки!$E$3:$E$7,MATCH($F85,Настройки!$D$3:$D$7,0)),0),"")</f>
        <v>49</v>
      </c>
      <c r="H85" s="2" t="s">
        <v>80</v>
      </c>
      <c r="I85" s="2" t="s">
        <v>15</v>
      </c>
    </row>
    <row r="86" spans="1:9" x14ac:dyDescent="0.25">
      <c r="A86" s="2">
        <v>128</v>
      </c>
      <c r="B86" s="2" t="s">
        <v>217</v>
      </c>
      <c r="C86" s="2" t="s">
        <v>171</v>
      </c>
      <c r="D86" s="2" t="s">
        <v>218</v>
      </c>
      <c r="E86" s="2" t="s">
        <v>219</v>
      </c>
      <c r="F86" s="2" t="s">
        <v>108</v>
      </c>
      <c r="G86" s="2">
        <f>IFERROR(ROUND(INDEX(Настройки!$B$3:$B$9,MATCH($C86,Настройки!$A$3:$A$9,0))*INDEX(Настройки!$E$3:$E$7,MATCH($F86,Настройки!$D$3:$D$7,0)),0),"")</f>
        <v>49</v>
      </c>
      <c r="H86" s="2" t="s">
        <v>220</v>
      </c>
      <c r="I86" s="2" t="s">
        <v>15</v>
      </c>
    </row>
    <row r="87" spans="1:9" x14ac:dyDescent="0.25">
      <c r="A87" s="2">
        <v>129</v>
      </c>
      <c r="B87" s="2" t="s">
        <v>81</v>
      </c>
      <c r="C87" s="2" t="s">
        <v>171</v>
      </c>
      <c r="D87" s="2" t="s">
        <v>221</v>
      </c>
      <c r="E87" s="2" t="s">
        <v>222</v>
      </c>
      <c r="F87" s="2" t="s">
        <v>108</v>
      </c>
      <c r="G87" s="2">
        <f>IFERROR(ROUND(INDEX(Настройки!$B$3:$B$9,MATCH($C87,Настройки!$A$3:$A$9,0))*INDEX(Настройки!$E$3:$E$7,MATCH($F87,Настройки!$D$3:$D$7,0)),0),"")</f>
        <v>49</v>
      </c>
      <c r="H87" s="2" t="s">
        <v>84</v>
      </c>
      <c r="I87" s="2" t="s">
        <v>15</v>
      </c>
    </row>
    <row r="88" spans="1:9" x14ac:dyDescent="0.25">
      <c r="A88" s="2">
        <v>130</v>
      </c>
      <c r="B88" s="2" t="s">
        <v>81</v>
      </c>
      <c r="C88" s="2" t="s">
        <v>171</v>
      </c>
      <c r="D88" s="2" t="s">
        <v>223</v>
      </c>
      <c r="E88" s="2" t="s">
        <v>224</v>
      </c>
      <c r="F88" s="2" t="s">
        <v>108</v>
      </c>
      <c r="G88" s="2">
        <f>IFERROR(ROUND(INDEX(Настройки!$B$3:$B$9,MATCH($C88,Настройки!$A$3:$A$9,0))*INDEX(Настройки!$E$3:$E$7,MATCH($F88,Настройки!$D$3:$D$7,0)),0),"")</f>
        <v>49</v>
      </c>
      <c r="H88" s="2" t="s">
        <v>84</v>
      </c>
      <c r="I88" s="2" t="s">
        <v>15</v>
      </c>
    </row>
    <row r="89" spans="1:9" x14ac:dyDescent="0.25">
      <c r="A89" s="2">
        <v>131</v>
      </c>
      <c r="B89" s="2" t="s">
        <v>81</v>
      </c>
      <c r="C89" s="2" t="s">
        <v>171</v>
      </c>
      <c r="D89" s="2" t="s">
        <v>225</v>
      </c>
      <c r="E89" s="2" t="s">
        <v>226</v>
      </c>
      <c r="F89" s="2" t="s">
        <v>108</v>
      </c>
      <c r="G89" s="2">
        <f>IFERROR(ROUND(INDEX(Настройки!$B$3:$B$9,MATCH($C89,Настройки!$A$3:$A$9,0))*INDEX(Настройки!$E$3:$E$7,MATCH($F89,Настройки!$D$3:$D$7,0)),0),"")</f>
        <v>49</v>
      </c>
      <c r="H89" s="2" t="s">
        <v>227</v>
      </c>
      <c r="I89" s="2" t="s">
        <v>15</v>
      </c>
    </row>
    <row r="90" spans="1:9" x14ac:dyDescent="0.25">
      <c r="A90" s="2">
        <v>133</v>
      </c>
      <c r="B90" s="2" t="s">
        <v>54</v>
      </c>
      <c r="C90" s="2" t="s">
        <v>171</v>
      </c>
      <c r="D90" s="2" t="s">
        <v>228</v>
      </c>
      <c r="E90" s="2" t="s">
        <v>229</v>
      </c>
      <c r="F90" s="2" t="s">
        <v>108</v>
      </c>
      <c r="G90" s="2">
        <f>IFERROR(ROUND(INDEX(Настройки!$B$3:$B$9,MATCH($C90,Настройки!$A$3:$A$9,0))*INDEX(Настройки!$E$3:$E$7,MATCH($F90,Настройки!$D$3:$D$7,0)),0),"")</f>
        <v>49</v>
      </c>
      <c r="H90" s="2" t="s">
        <v>230</v>
      </c>
      <c r="I90" s="2" t="s">
        <v>15</v>
      </c>
    </row>
    <row r="91" spans="1:9" x14ac:dyDescent="0.25">
      <c r="A91" s="2">
        <v>134</v>
      </c>
      <c r="B91" s="2" t="s">
        <v>55</v>
      </c>
      <c r="C91" s="2" t="s">
        <v>171</v>
      </c>
      <c r="D91" s="2" t="s">
        <v>231</v>
      </c>
      <c r="E91" s="2" t="s">
        <v>103</v>
      </c>
      <c r="F91" s="2" t="s">
        <v>108</v>
      </c>
      <c r="G91" s="2">
        <f>IFERROR(ROUND(INDEX(Настройки!$B$3:$B$9,MATCH($C91,Настройки!$A$3:$A$9,0))*INDEX(Настройки!$E$3:$E$7,MATCH($F91,Настройки!$D$3:$D$7,0)),0),"")</f>
        <v>49</v>
      </c>
      <c r="H91" s="2" t="s">
        <v>105</v>
      </c>
      <c r="I91" s="2" t="s">
        <v>15</v>
      </c>
    </row>
    <row r="92" spans="1:9" x14ac:dyDescent="0.25">
      <c r="A92" s="2">
        <v>138</v>
      </c>
      <c r="B92" s="2" t="s">
        <v>62</v>
      </c>
      <c r="C92" s="2" t="s">
        <v>171</v>
      </c>
      <c r="D92" s="2" t="s">
        <v>232</v>
      </c>
      <c r="E92" s="2" t="s">
        <v>233</v>
      </c>
      <c r="F92" s="2" t="s">
        <v>108</v>
      </c>
      <c r="G92" s="2">
        <f>IFERROR(ROUND(INDEX(Настройки!$B$3:$B$9,MATCH($C92,Настройки!$A$3:$A$9,0))*INDEX(Настройки!$E$3:$E$7,MATCH($F92,Настройки!$D$3:$D$7,0)),0),"")</f>
        <v>49</v>
      </c>
      <c r="H92" s="2" t="s">
        <v>64</v>
      </c>
      <c r="I92" s="2" t="s">
        <v>15</v>
      </c>
    </row>
    <row r="93" spans="1:9" x14ac:dyDescent="0.25">
      <c r="A93" s="2">
        <v>139</v>
      </c>
      <c r="B93" s="2" t="s">
        <v>65</v>
      </c>
      <c r="C93" s="2" t="s">
        <v>171</v>
      </c>
      <c r="D93" s="2" t="s">
        <v>234</v>
      </c>
      <c r="E93" s="2" t="s">
        <v>235</v>
      </c>
      <c r="F93" s="2" t="s">
        <v>108</v>
      </c>
      <c r="G93" s="2">
        <f>IFERROR(ROUND(INDEX(Настройки!$B$3:$B$9,MATCH($C93,Настройки!$A$3:$A$9,0))*INDEX(Настройки!$E$3:$E$7,MATCH($F93,Настройки!$D$3:$D$7,0)),0),"")</f>
        <v>49</v>
      </c>
      <c r="H93" s="2" t="s">
        <v>68</v>
      </c>
      <c r="I93" s="2" t="s">
        <v>15</v>
      </c>
    </row>
    <row r="94" spans="1:9" x14ac:dyDescent="0.25">
      <c r="A94" s="2">
        <v>140</v>
      </c>
      <c r="B94" s="2" t="s">
        <v>65</v>
      </c>
      <c r="C94" s="2" t="s">
        <v>236</v>
      </c>
      <c r="D94" s="2" t="s">
        <v>237</v>
      </c>
      <c r="E94" s="9" t="s">
        <v>410</v>
      </c>
      <c r="F94" s="2" t="s">
        <v>13</v>
      </c>
      <c r="G94" s="2">
        <f>IFERROR(ROUND(INDEX(Настройки!$B$3:$B$9,MATCH($C94,Настройки!$A$3:$A$9,0))*INDEX(Настройки!$E$3:$E$7,MATCH($F94,Настройки!$D$3:$D$7,0)),0),"")</f>
        <v>56</v>
      </c>
      <c r="H94" s="2" t="s">
        <v>101</v>
      </c>
      <c r="I94" s="2" t="s">
        <v>15</v>
      </c>
    </row>
    <row r="95" spans="1:9" x14ac:dyDescent="0.25">
      <c r="A95" s="2">
        <v>142</v>
      </c>
      <c r="B95" s="2" t="s">
        <v>217</v>
      </c>
      <c r="C95" s="2" t="s">
        <v>236</v>
      </c>
      <c r="D95" s="2" t="s">
        <v>238</v>
      </c>
      <c r="E95" s="2" t="s">
        <v>239</v>
      </c>
      <c r="F95" s="2" t="s">
        <v>76</v>
      </c>
      <c r="G95" s="2">
        <f>IFERROR(ROUND(INDEX(Настройки!$B$3:$B$9,MATCH($C95,Настройки!$A$3:$A$9,0))*INDEX(Настройки!$E$3:$E$7,MATCH($F95,Настройки!$D$3:$D$7,0)),0),"")</f>
        <v>50</v>
      </c>
      <c r="H95" s="2" t="s">
        <v>220</v>
      </c>
      <c r="I95" s="2" t="s">
        <v>15</v>
      </c>
    </row>
    <row r="96" spans="1:9" x14ac:dyDescent="0.25">
      <c r="A96" s="2">
        <v>143</v>
      </c>
      <c r="B96" s="2" t="s">
        <v>41</v>
      </c>
      <c r="C96" s="2" t="s">
        <v>236</v>
      </c>
      <c r="D96" s="2" t="s">
        <v>240</v>
      </c>
      <c r="E96" s="2" t="s">
        <v>241</v>
      </c>
      <c r="F96" s="2" t="s">
        <v>76</v>
      </c>
      <c r="G96" s="2">
        <f>IFERROR(ROUND(INDEX(Настройки!$B$3:$B$9,MATCH($C96,Настройки!$A$3:$A$9,0))*INDEX(Настройки!$E$3:$E$7,MATCH($F96,Настройки!$D$3:$D$7,0)),0),"")</f>
        <v>50</v>
      </c>
      <c r="H96" s="2" t="s">
        <v>44</v>
      </c>
      <c r="I96" s="2" t="s">
        <v>15</v>
      </c>
    </row>
    <row r="97" spans="1:9" x14ac:dyDescent="0.25">
      <c r="A97" s="2">
        <v>144</v>
      </c>
      <c r="B97" s="2" t="s">
        <v>45</v>
      </c>
      <c r="C97" s="2" t="s">
        <v>236</v>
      </c>
      <c r="D97" s="2" t="s">
        <v>242</v>
      </c>
      <c r="E97" s="2" t="s">
        <v>243</v>
      </c>
      <c r="F97" s="2" t="s">
        <v>76</v>
      </c>
      <c r="G97" s="2">
        <f>IFERROR(ROUND(INDEX(Настройки!$B$3:$B$9,MATCH($C97,Настройки!$A$3:$A$9,0))*INDEX(Настройки!$E$3:$E$7,MATCH($F97,Настройки!$D$3:$D$7,0)),0),"")</f>
        <v>50</v>
      </c>
      <c r="H97" s="2" t="s">
        <v>109</v>
      </c>
      <c r="I97" s="2" t="s">
        <v>15</v>
      </c>
    </row>
    <row r="98" spans="1:9" x14ac:dyDescent="0.25">
      <c r="A98" s="2">
        <v>145</v>
      </c>
      <c r="B98" s="2" t="s">
        <v>55</v>
      </c>
      <c r="C98" s="2" t="s">
        <v>236</v>
      </c>
      <c r="D98" s="2" t="s">
        <v>244</v>
      </c>
      <c r="E98" s="2" t="s">
        <v>245</v>
      </c>
      <c r="F98" s="2" t="s">
        <v>76</v>
      </c>
      <c r="G98" s="2">
        <f>IFERROR(ROUND(INDEX(Настройки!$B$3:$B$9,MATCH($C98,Настройки!$A$3:$A$9,0))*INDEX(Настройки!$E$3:$E$7,MATCH($F98,Настройки!$D$3:$D$7,0)),0),"")</f>
        <v>50</v>
      </c>
      <c r="H98" s="2" t="s">
        <v>246</v>
      </c>
      <c r="I98" s="2" t="s">
        <v>15</v>
      </c>
    </row>
    <row r="99" spans="1:9" x14ac:dyDescent="0.25">
      <c r="A99" s="2">
        <v>146</v>
      </c>
      <c r="B99" s="2" t="s">
        <v>9</v>
      </c>
      <c r="C99" s="2" t="s">
        <v>236</v>
      </c>
      <c r="D99" s="2" t="s">
        <v>247</v>
      </c>
      <c r="E99" s="2" t="s">
        <v>248</v>
      </c>
      <c r="F99" s="2" t="s">
        <v>104</v>
      </c>
      <c r="G99" s="2">
        <f>IFERROR(ROUND(INDEX(Настройки!$B$3:$B$9,MATCH($C99,Настройки!$A$3:$A$9,0))*INDEX(Настройки!$E$3:$E$7,MATCH($F99,Настройки!$D$3:$D$7,0)),0),"")</f>
        <v>45</v>
      </c>
      <c r="H99" s="2" t="s">
        <v>14</v>
      </c>
      <c r="I99" s="2" t="s">
        <v>15</v>
      </c>
    </row>
    <row r="100" spans="1:9" x14ac:dyDescent="0.25">
      <c r="A100" s="2">
        <v>147</v>
      </c>
      <c r="B100" s="2" t="s">
        <v>16</v>
      </c>
      <c r="C100" s="2" t="s">
        <v>236</v>
      </c>
      <c r="D100" s="2" t="s">
        <v>249</v>
      </c>
      <c r="E100" s="2" t="s">
        <v>250</v>
      </c>
      <c r="F100" s="2" t="s">
        <v>104</v>
      </c>
      <c r="G100" s="2">
        <f>IFERROR(ROUND(INDEX(Настройки!$B$3:$B$9,MATCH($C100,Настройки!$A$3:$A$9,0))*INDEX(Настройки!$E$3:$E$7,MATCH($F100,Настройки!$D$3:$D$7,0)),0),"")</f>
        <v>45</v>
      </c>
      <c r="H100" s="2" t="s">
        <v>214</v>
      </c>
      <c r="I100" s="2" t="s">
        <v>15</v>
      </c>
    </row>
    <row r="101" spans="1:9" x14ac:dyDescent="0.25">
      <c r="A101" s="2">
        <v>148</v>
      </c>
      <c r="B101" s="2" t="s">
        <v>217</v>
      </c>
      <c r="C101" s="2" t="s">
        <v>236</v>
      </c>
      <c r="D101" s="2" t="s">
        <v>251</v>
      </c>
      <c r="E101" s="2" t="s">
        <v>252</v>
      </c>
      <c r="F101" s="2" t="s">
        <v>104</v>
      </c>
      <c r="G101" s="2">
        <f>IFERROR(ROUND(INDEX(Настройки!$B$3:$B$9,MATCH($C101,Настройки!$A$3:$A$9,0))*INDEX(Настройки!$E$3:$E$7,MATCH($F101,Настройки!$D$3:$D$7,0)),0),"")</f>
        <v>45</v>
      </c>
      <c r="H101" s="2" t="s">
        <v>253</v>
      </c>
      <c r="I101" s="2" t="s">
        <v>15</v>
      </c>
    </row>
    <row r="102" spans="1:9" x14ac:dyDescent="0.25">
      <c r="A102" s="2">
        <v>149</v>
      </c>
      <c r="B102" s="2" t="s">
        <v>25</v>
      </c>
      <c r="C102" s="2" t="s">
        <v>236</v>
      </c>
      <c r="D102" s="2" t="s">
        <v>254</v>
      </c>
      <c r="E102" s="2" t="s">
        <v>390</v>
      </c>
      <c r="F102" s="2" t="s">
        <v>104</v>
      </c>
      <c r="G102" s="2">
        <f>IFERROR(ROUND(INDEX(Настройки!$B$3:$B$9,MATCH($C102,Настройки!$A$3:$A$9,0))*INDEX(Настройки!$E$3:$E$7,MATCH($F102,Настройки!$D$3:$D$7,0)),0),"")</f>
        <v>45</v>
      </c>
      <c r="H102" s="2" t="s">
        <v>397</v>
      </c>
      <c r="I102" s="2" t="s">
        <v>15</v>
      </c>
    </row>
    <row r="103" spans="1:9" x14ac:dyDescent="0.25">
      <c r="A103" s="2">
        <v>150</v>
      </c>
      <c r="B103" s="2" t="s">
        <v>41</v>
      </c>
      <c r="C103" s="2" t="s">
        <v>236</v>
      </c>
      <c r="D103" s="2" t="s">
        <v>256</v>
      </c>
      <c r="E103" s="2" t="s">
        <v>257</v>
      </c>
      <c r="F103" s="2" t="s">
        <v>104</v>
      </c>
      <c r="G103" s="2">
        <f>IFERROR(ROUND(INDEX(Настройки!$B$3:$B$9,MATCH($C103,Настройки!$A$3:$A$9,0))*INDEX(Настройки!$E$3:$E$7,MATCH($F103,Настройки!$D$3:$D$7,0)),0),"")</f>
        <v>45</v>
      </c>
      <c r="H103" s="2" t="s">
        <v>186</v>
      </c>
      <c r="I103" s="2" t="s">
        <v>15</v>
      </c>
    </row>
    <row r="104" spans="1:9" x14ac:dyDescent="0.25">
      <c r="A104" s="2">
        <v>151</v>
      </c>
      <c r="B104" s="2" t="s">
        <v>90</v>
      </c>
      <c r="C104" s="2" t="s">
        <v>236</v>
      </c>
      <c r="D104" s="2" t="s">
        <v>258</v>
      </c>
      <c r="E104" s="2" t="s">
        <v>259</v>
      </c>
      <c r="F104" s="2" t="s">
        <v>104</v>
      </c>
      <c r="G104" s="2">
        <f>IFERROR(ROUND(INDEX(Настройки!$B$3:$B$9,MATCH($C104,Настройки!$A$3:$A$9,0))*INDEX(Настройки!$E$3:$E$7,MATCH($F104,Настройки!$D$3:$D$7,0)),0),"")</f>
        <v>45</v>
      </c>
      <c r="H104" s="2" t="s">
        <v>112</v>
      </c>
      <c r="I104" s="2" t="s">
        <v>15</v>
      </c>
    </row>
    <row r="105" spans="1:9" x14ac:dyDescent="0.25">
      <c r="A105" s="2">
        <v>152</v>
      </c>
      <c r="B105" s="2" t="s">
        <v>55</v>
      </c>
      <c r="C105" s="2" t="s">
        <v>236</v>
      </c>
      <c r="D105" s="2" t="s">
        <v>260</v>
      </c>
      <c r="E105" s="2" t="s">
        <v>261</v>
      </c>
      <c r="F105" s="2" t="s">
        <v>104</v>
      </c>
      <c r="G105" s="2">
        <f>IFERROR(ROUND(INDEX(Настройки!$B$3:$B$9,MATCH($C105,Настройки!$A$3:$A$9,0))*INDEX(Настройки!$E$3:$E$7,MATCH($F105,Настройки!$D$3:$D$7,0)),0),"")</f>
        <v>45</v>
      </c>
      <c r="H105" s="2" t="s">
        <v>168</v>
      </c>
      <c r="I105" s="2" t="s">
        <v>15</v>
      </c>
    </row>
    <row r="106" spans="1:9" x14ac:dyDescent="0.25">
      <c r="A106" s="2">
        <v>153</v>
      </c>
      <c r="B106" s="2" t="s">
        <v>69</v>
      </c>
      <c r="C106" s="2" t="s">
        <v>236</v>
      </c>
      <c r="D106" s="2" t="s">
        <v>262</v>
      </c>
      <c r="E106" s="2" t="s">
        <v>263</v>
      </c>
      <c r="F106" s="2" t="s">
        <v>104</v>
      </c>
      <c r="G106" s="2">
        <f>IFERROR(ROUND(INDEX(Настройки!$B$3:$B$9,MATCH($C106,Настройки!$A$3:$A$9,0))*INDEX(Настройки!$E$3:$E$7,MATCH($F106,Настройки!$D$3:$D$7,0)),0),"")</f>
        <v>45</v>
      </c>
      <c r="H106" s="2" t="s">
        <v>72</v>
      </c>
      <c r="I106" s="2" t="s">
        <v>15</v>
      </c>
    </row>
    <row r="107" spans="1:9" x14ac:dyDescent="0.25">
      <c r="A107" s="2">
        <v>154</v>
      </c>
      <c r="B107" s="2" t="s">
        <v>9</v>
      </c>
      <c r="C107" s="2" t="s">
        <v>236</v>
      </c>
      <c r="D107" s="2" t="s">
        <v>264</v>
      </c>
      <c r="E107" s="2" t="s">
        <v>265</v>
      </c>
      <c r="F107" s="2" t="s">
        <v>108</v>
      </c>
      <c r="G107" s="2">
        <f>IFERROR(ROUND(INDEX(Настройки!$B$3:$B$9,MATCH($C107,Настройки!$A$3:$A$9,0))*INDEX(Настройки!$E$3:$E$7,MATCH($F107,Настройки!$D$3:$D$7,0)),0),"")</f>
        <v>38</v>
      </c>
      <c r="H107" s="2" t="s">
        <v>211</v>
      </c>
      <c r="I107" s="2" t="s">
        <v>15</v>
      </c>
    </row>
    <row r="108" spans="1:9" x14ac:dyDescent="0.25">
      <c r="A108" s="2">
        <v>155</v>
      </c>
      <c r="B108" s="2" t="s">
        <v>16</v>
      </c>
      <c r="C108" s="2" t="s">
        <v>236</v>
      </c>
      <c r="D108" s="2" t="s">
        <v>266</v>
      </c>
      <c r="E108" s="2" t="s">
        <v>216</v>
      </c>
      <c r="F108" s="2" t="s">
        <v>108</v>
      </c>
      <c r="G108" s="2">
        <f>IFERROR(ROUND(INDEX(Настройки!$B$3:$B$9,MATCH($C108,Настройки!$A$3:$A$9,0))*INDEX(Настройки!$E$3:$E$7,MATCH($F108,Настройки!$D$3:$D$7,0)),0),"")</f>
        <v>38</v>
      </c>
      <c r="H108" s="2" t="s">
        <v>80</v>
      </c>
      <c r="I108" s="2" t="s">
        <v>15</v>
      </c>
    </row>
    <row r="109" spans="1:9" x14ac:dyDescent="0.25">
      <c r="A109" s="2">
        <v>157</v>
      </c>
      <c r="B109" s="2" t="s">
        <v>41</v>
      </c>
      <c r="C109" s="2" t="s">
        <v>236</v>
      </c>
      <c r="D109" s="2" t="s">
        <v>267</v>
      </c>
      <c r="E109" s="2" t="s">
        <v>268</v>
      </c>
      <c r="F109" s="2" t="s">
        <v>108</v>
      </c>
      <c r="G109" s="2">
        <f>IFERROR(ROUND(INDEX(Настройки!$B$3:$B$9,MATCH($C109,Настройки!$A$3:$A$9,0))*INDEX(Настройки!$E$3:$E$7,MATCH($F109,Настройки!$D$3:$D$7,0)),0),"")</f>
        <v>38</v>
      </c>
      <c r="H109" s="2" t="s">
        <v>129</v>
      </c>
      <c r="I109" s="2" t="s">
        <v>15</v>
      </c>
    </row>
    <row r="110" spans="1:9" x14ac:dyDescent="0.25">
      <c r="A110" s="2">
        <v>159</v>
      </c>
      <c r="B110" s="2" t="s">
        <v>53</v>
      </c>
      <c r="C110" s="2" t="s">
        <v>171</v>
      </c>
      <c r="D110" s="2" t="s">
        <v>269</v>
      </c>
      <c r="E110" s="2" t="s">
        <v>399</v>
      </c>
      <c r="F110" s="2" t="s">
        <v>108</v>
      </c>
      <c r="G110" s="2">
        <f>IFERROR(ROUND(INDEX(Настройки!$B$3:$B$9,MATCH($C110,Настройки!$A$3:$A$9,0))*INDEX(Настройки!$E$3:$E$7,MATCH($F110,Настройки!$D$3:$D$7,0)),0),"")</f>
        <v>49</v>
      </c>
      <c r="H110" s="2" t="s">
        <v>37</v>
      </c>
      <c r="I110" s="2" t="s">
        <v>15</v>
      </c>
    </row>
    <row r="111" spans="1:9" x14ac:dyDescent="0.25">
      <c r="A111" s="2">
        <v>162</v>
      </c>
      <c r="B111" s="2" t="s">
        <v>55</v>
      </c>
      <c r="C111" s="2" t="s">
        <v>236</v>
      </c>
      <c r="D111" s="2" t="s">
        <v>270</v>
      </c>
      <c r="E111" s="2" t="s">
        <v>199</v>
      </c>
      <c r="F111" s="2" t="s">
        <v>108</v>
      </c>
      <c r="G111" s="2">
        <f>IFERROR(ROUND(INDEX(Настройки!$B$3:$B$9,MATCH($C111,Настройки!$A$3:$A$9,0))*INDEX(Настройки!$E$3:$E$7,MATCH($F111,Настройки!$D$3:$D$7,0)),0),"")</f>
        <v>38</v>
      </c>
      <c r="H111" s="2" t="s">
        <v>96</v>
      </c>
      <c r="I111" s="2" t="s">
        <v>15</v>
      </c>
    </row>
    <row r="112" spans="1:9" x14ac:dyDescent="0.25">
      <c r="A112" s="2">
        <v>164</v>
      </c>
      <c r="B112" s="2" t="s">
        <v>55</v>
      </c>
      <c r="C112" s="2" t="s">
        <v>236</v>
      </c>
      <c r="D112" s="2" t="s">
        <v>271</v>
      </c>
      <c r="E112" s="2" t="s">
        <v>272</v>
      </c>
      <c r="F112" s="2" t="s">
        <v>108</v>
      </c>
      <c r="G112" s="2">
        <f>IFERROR(ROUND(INDEX(Настройки!$B$3:$B$9,MATCH($C112,Настройки!$A$3:$A$9,0))*INDEX(Настройки!$E$3:$E$7,MATCH($F112,Настройки!$D$3:$D$7,0)),0),"")</f>
        <v>38</v>
      </c>
      <c r="H112" s="2" t="s">
        <v>202</v>
      </c>
      <c r="I112" s="2" t="s">
        <v>15</v>
      </c>
    </row>
    <row r="113" spans="1:9" x14ac:dyDescent="0.25">
      <c r="A113" s="2">
        <v>165</v>
      </c>
      <c r="B113" s="2" t="s">
        <v>62</v>
      </c>
      <c r="C113" s="2" t="s">
        <v>236</v>
      </c>
      <c r="D113" s="2" t="s">
        <v>273</v>
      </c>
      <c r="E113" s="2" t="s">
        <v>409</v>
      </c>
      <c r="F113" s="2" t="s">
        <v>108</v>
      </c>
      <c r="G113" s="2">
        <f>IFERROR(ROUND(INDEX(Настройки!$B$3:$B$9,MATCH($C113,Настройки!$A$3:$A$9,0))*INDEX(Настройки!$E$3:$E$7,MATCH($F113,Настройки!$D$3:$D$7,0)),0),"")</f>
        <v>38</v>
      </c>
      <c r="H113" s="2" t="s">
        <v>275</v>
      </c>
      <c r="I113" s="2" t="s">
        <v>15</v>
      </c>
    </row>
    <row r="114" spans="1:9" x14ac:dyDescent="0.25">
      <c r="A114" s="2">
        <v>169</v>
      </c>
      <c r="B114" s="2" t="s">
        <v>55</v>
      </c>
      <c r="C114" s="2" t="s">
        <v>277</v>
      </c>
      <c r="D114" s="2" t="s">
        <v>278</v>
      </c>
      <c r="E114" s="2" t="s">
        <v>279</v>
      </c>
      <c r="F114" s="2" t="s">
        <v>76</v>
      </c>
      <c r="G114" s="2">
        <f>IFERROR(ROUND(INDEX(Настройки!$B$3:$B$9,MATCH($C114,Настройки!$A$3:$A$9,0))*INDEX(Настройки!$E$3:$E$7,MATCH($F114,Настройки!$D$3:$D$7,0)),0),"")</f>
        <v>36</v>
      </c>
      <c r="H114" s="2" t="s">
        <v>246</v>
      </c>
      <c r="I114" s="2" t="s">
        <v>15</v>
      </c>
    </row>
    <row r="115" spans="1:9" x14ac:dyDescent="0.25">
      <c r="A115" s="2">
        <v>171</v>
      </c>
      <c r="B115" s="2" t="s">
        <v>41</v>
      </c>
      <c r="C115" s="2" t="s">
        <v>277</v>
      </c>
      <c r="D115" s="2" t="s">
        <v>280</v>
      </c>
      <c r="E115" s="2" t="s">
        <v>281</v>
      </c>
      <c r="F115" s="2" t="s">
        <v>104</v>
      </c>
      <c r="G115" s="2">
        <f>IFERROR(ROUND(INDEX(Настройки!$B$3:$B$9,MATCH($C115,Настройки!$A$3:$A$9,0))*INDEX(Настройки!$E$3:$E$7,MATCH($F115,Настройки!$D$3:$D$7,0)),0),"")</f>
        <v>33</v>
      </c>
      <c r="H115" s="2" t="s">
        <v>186</v>
      </c>
      <c r="I115" s="2" t="s">
        <v>15</v>
      </c>
    </row>
    <row r="116" spans="1:9" x14ac:dyDescent="0.25">
      <c r="A116" s="2">
        <v>172</v>
      </c>
      <c r="B116" s="2" t="s">
        <v>282</v>
      </c>
      <c r="C116" s="2" t="s">
        <v>277</v>
      </c>
      <c r="D116" s="2" t="s">
        <v>283</v>
      </c>
      <c r="E116" s="2" t="s">
        <v>284</v>
      </c>
      <c r="F116" s="2" t="s">
        <v>104</v>
      </c>
      <c r="G116" s="2">
        <f>IFERROR(ROUND(INDEX(Настройки!$B$3:$B$9,MATCH($C116,Настройки!$A$3:$A$9,0))*INDEX(Настройки!$E$3:$E$7,MATCH($F116,Настройки!$D$3:$D$7,0)),0),"")</f>
        <v>33</v>
      </c>
      <c r="H116" s="2" t="s">
        <v>285</v>
      </c>
      <c r="I116" s="2" t="s">
        <v>15</v>
      </c>
    </row>
    <row r="117" spans="1:9" x14ac:dyDescent="0.25">
      <c r="A117" s="2">
        <v>173</v>
      </c>
      <c r="B117" s="2" t="s">
        <v>205</v>
      </c>
      <c r="C117" s="2" t="s">
        <v>277</v>
      </c>
      <c r="D117" s="2" t="s">
        <v>286</v>
      </c>
      <c r="E117" s="2" t="s">
        <v>287</v>
      </c>
      <c r="F117" s="2" t="s">
        <v>104</v>
      </c>
      <c r="G117" s="2">
        <f>IFERROR(ROUND(INDEX(Настройки!$B$3:$B$9,MATCH($C117,Настройки!$A$3:$A$9,0))*INDEX(Настройки!$E$3:$E$7,MATCH($F117,Настройки!$D$3:$D$7,0)),0),"")</f>
        <v>33</v>
      </c>
      <c r="H117" s="2" t="s">
        <v>288</v>
      </c>
      <c r="I117" s="2" t="s">
        <v>15</v>
      </c>
    </row>
    <row r="118" spans="1:9" x14ac:dyDescent="0.25">
      <c r="A118" s="2">
        <v>174</v>
      </c>
      <c r="B118" s="2" t="s">
        <v>69</v>
      </c>
      <c r="C118" s="2" t="s">
        <v>277</v>
      </c>
      <c r="D118" s="2" t="s">
        <v>289</v>
      </c>
      <c r="E118" s="2" t="s">
        <v>290</v>
      </c>
      <c r="F118" s="2" t="s">
        <v>104</v>
      </c>
      <c r="G118" s="2">
        <f>IFERROR(ROUND(INDEX(Настройки!$B$3:$B$9,MATCH($C118,Настройки!$A$3:$A$9,0))*INDEX(Настройки!$E$3:$E$7,MATCH($F118,Настройки!$D$3:$D$7,0)),0),"")</f>
        <v>33</v>
      </c>
      <c r="H118" s="2" t="s">
        <v>291</v>
      </c>
      <c r="I118" s="2" t="s">
        <v>15</v>
      </c>
    </row>
    <row r="119" spans="1:9" x14ac:dyDescent="0.25">
      <c r="A119" s="2">
        <v>175</v>
      </c>
      <c r="B119" s="2" t="s">
        <v>25</v>
      </c>
      <c r="C119" s="2" t="s">
        <v>277</v>
      </c>
      <c r="D119" s="2" t="s">
        <v>292</v>
      </c>
      <c r="E119" s="2" t="s">
        <v>255</v>
      </c>
      <c r="F119" s="2" t="s">
        <v>108</v>
      </c>
      <c r="G119" s="2">
        <f>IFERROR(ROUND(INDEX(Настройки!$B$3:$B$9,MATCH($C119,Настройки!$A$3:$A$9,0))*INDEX(Настройки!$E$3:$E$7,MATCH($F119,Настройки!$D$3:$D$7,0)),0),"")</f>
        <v>28</v>
      </c>
      <c r="H119" s="2" t="s">
        <v>397</v>
      </c>
      <c r="I119" s="2" t="s">
        <v>15</v>
      </c>
    </row>
    <row r="120" spans="1:9" x14ac:dyDescent="0.25">
      <c r="A120" s="2">
        <v>176</v>
      </c>
      <c r="B120" s="2" t="s">
        <v>293</v>
      </c>
      <c r="C120" s="2" t="s">
        <v>277</v>
      </c>
      <c r="D120" s="2" t="s">
        <v>294</v>
      </c>
      <c r="E120" s="2" t="s">
        <v>295</v>
      </c>
      <c r="F120" s="2" t="s">
        <v>108</v>
      </c>
      <c r="G120" s="2">
        <f>IFERROR(ROUND(INDEX(Настройки!$B$3:$B$9,MATCH($C120,Настройки!$A$3:$A$9,0))*INDEX(Настройки!$E$3:$E$7,MATCH($F120,Настройки!$D$3:$D$7,0)),0),"")</f>
        <v>28</v>
      </c>
      <c r="H120" s="2" t="s">
        <v>293</v>
      </c>
      <c r="I120" s="2" t="s">
        <v>15</v>
      </c>
    </row>
    <row r="121" spans="1:9" x14ac:dyDescent="0.25">
      <c r="A121" s="2">
        <v>177</v>
      </c>
      <c r="B121" s="2" t="s">
        <v>62</v>
      </c>
      <c r="C121" s="2" t="s">
        <v>277</v>
      </c>
      <c r="D121" s="2" t="s">
        <v>296</v>
      </c>
      <c r="E121" s="2" t="s">
        <v>407</v>
      </c>
      <c r="F121" s="2" t="s">
        <v>108</v>
      </c>
      <c r="G121" s="2">
        <f>IFERROR(ROUND(INDEX(Настройки!$B$3:$B$9,MATCH($C121,Настройки!$A$3:$A$9,0))*INDEX(Настройки!$E$3:$E$7,MATCH($F121,Настройки!$D$3:$D$7,0)),0),"")</f>
        <v>28</v>
      </c>
      <c r="H121" s="2" t="s">
        <v>98</v>
      </c>
      <c r="I121" s="2" t="s">
        <v>15</v>
      </c>
    </row>
    <row r="122" spans="1:9" x14ac:dyDescent="0.25">
      <c r="A122" s="2">
        <v>179</v>
      </c>
      <c r="B122" s="2" t="s">
        <v>69</v>
      </c>
      <c r="C122" s="2" t="s">
        <v>277</v>
      </c>
      <c r="D122" s="2" t="s">
        <v>298</v>
      </c>
      <c r="E122" s="2" t="s">
        <v>299</v>
      </c>
      <c r="F122" s="2" t="s">
        <v>108</v>
      </c>
      <c r="G122" s="2">
        <f>IFERROR(ROUND(INDEX(Настройки!$B$3:$B$9,MATCH($C122,Настройки!$A$3:$A$9,0))*INDEX(Настройки!$E$3:$E$7,MATCH($F122,Настройки!$D$3:$D$7,0)),0),"")</f>
        <v>28</v>
      </c>
      <c r="H122" s="2" t="s">
        <v>300</v>
      </c>
      <c r="I122" s="2" t="s">
        <v>15</v>
      </c>
    </row>
    <row r="123" spans="1:9" x14ac:dyDescent="0.25">
      <c r="A123" s="2">
        <v>180</v>
      </c>
      <c r="B123" s="2" t="s">
        <v>9</v>
      </c>
      <c r="C123" s="2" t="s">
        <v>277</v>
      </c>
      <c r="D123" s="2" t="s">
        <v>301</v>
      </c>
      <c r="E123" s="2" t="s">
        <v>302</v>
      </c>
      <c r="F123" s="2" t="s">
        <v>276</v>
      </c>
      <c r="G123" s="2">
        <f>IFERROR(ROUND(INDEX(Настройки!$B$3:$B$9,MATCH($C123,Настройки!$A$3:$A$9,0))*INDEX(Настройки!$E$3:$E$7,MATCH($F123,Настройки!$D$3:$D$7,0)),0),"")</f>
        <v>23</v>
      </c>
      <c r="H123" s="2" t="s">
        <v>211</v>
      </c>
      <c r="I123" s="2" t="s">
        <v>15</v>
      </c>
    </row>
    <row r="124" spans="1:9" x14ac:dyDescent="0.25">
      <c r="A124" s="2">
        <v>181</v>
      </c>
      <c r="B124" s="2" t="s">
        <v>81</v>
      </c>
      <c r="C124" s="2" t="s">
        <v>277</v>
      </c>
      <c r="D124" s="2" t="s">
        <v>303</v>
      </c>
      <c r="E124" s="2" t="s">
        <v>304</v>
      </c>
      <c r="F124" s="2" t="s">
        <v>276</v>
      </c>
      <c r="G124" s="2">
        <f>IFERROR(ROUND(INDEX(Настройки!$B$3:$B$9,MATCH($C124,Настройки!$A$3:$A$9,0))*INDEX(Настройки!$E$3:$E$7,MATCH($F124,Настройки!$D$3:$D$7,0)),0),"")</f>
        <v>23</v>
      </c>
      <c r="H124" s="2" t="s">
        <v>84</v>
      </c>
      <c r="I124" s="2" t="s">
        <v>15</v>
      </c>
    </row>
    <row r="125" spans="1:9" x14ac:dyDescent="0.25">
      <c r="A125" s="2">
        <v>182</v>
      </c>
      <c r="B125" s="2" t="s">
        <v>41</v>
      </c>
      <c r="C125" s="2" t="s">
        <v>312</v>
      </c>
      <c r="D125" s="2" t="s">
        <v>305</v>
      </c>
      <c r="E125" s="2" t="s">
        <v>306</v>
      </c>
      <c r="F125" s="2" t="s">
        <v>276</v>
      </c>
      <c r="G125" s="2">
        <f>IFERROR(ROUND(INDEX(Настройки!$B$3:$B$9,MATCH($C125,Настройки!$A$3:$A$9,0))*INDEX(Настройки!$E$3:$E$7,MATCH($F125,Настройки!$D$3:$D$7,0)),0),"")</f>
        <v>18</v>
      </c>
      <c r="H125" s="2" t="s">
        <v>307</v>
      </c>
      <c r="I125" s="2" t="s">
        <v>15</v>
      </c>
    </row>
    <row r="126" spans="1:9" x14ac:dyDescent="0.25">
      <c r="A126" s="2">
        <v>185</v>
      </c>
      <c r="B126" s="2" t="s">
        <v>62</v>
      </c>
      <c r="C126" s="2" t="s">
        <v>277</v>
      </c>
      <c r="D126" s="2" t="s">
        <v>308</v>
      </c>
      <c r="E126" s="2" t="s">
        <v>406</v>
      </c>
      <c r="F126" s="2" t="s">
        <v>276</v>
      </c>
      <c r="G126" s="2">
        <f>IFERROR(ROUND(INDEX(Настройки!$B$3:$B$9,MATCH($C126,Настройки!$A$3:$A$9,0))*INDEX(Настройки!$E$3:$E$7,MATCH($F126,Настройки!$D$3:$D$7,0)),0),"")</f>
        <v>23</v>
      </c>
      <c r="H126" s="2" t="s">
        <v>275</v>
      </c>
      <c r="I126" s="2" t="s">
        <v>15</v>
      </c>
    </row>
    <row r="127" spans="1:9" x14ac:dyDescent="0.25">
      <c r="A127" s="2">
        <v>186</v>
      </c>
      <c r="B127" s="2" t="s">
        <v>205</v>
      </c>
      <c r="C127" s="2" t="s">
        <v>277</v>
      </c>
      <c r="D127" s="2" t="s">
        <v>309</v>
      </c>
      <c r="E127" s="2" t="s">
        <v>310</v>
      </c>
      <c r="F127" s="2" t="s">
        <v>276</v>
      </c>
      <c r="G127" s="2">
        <f>IFERROR(ROUND(INDEX(Настройки!$B$3:$B$9,MATCH($C127,Настройки!$A$3:$A$9,0))*INDEX(Настройки!$E$3:$E$7,MATCH($F127,Настройки!$D$3:$D$7,0)),0),"")</f>
        <v>23</v>
      </c>
      <c r="H127" s="2" t="s">
        <v>311</v>
      </c>
      <c r="I127" s="2" t="s">
        <v>15</v>
      </c>
    </row>
    <row r="128" spans="1:9" x14ac:dyDescent="0.25">
      <c r="A128" s="2">
        <v>188</v>
      </c>
      <c r="B128" s="2" t="s">
        <v>41</v>
      </c>
      <c r="C128" s="2" t="s">
        <v>312</v>
      </c>
      <c r="D128" s="2" t="s">
        <v>313</v>
      </c>
      <c r="E128" s="2" t="s">
        <v>314</v>
      </c>
      <c r="F128" s="2" t="s">
        <v>76</v>
      </c>
      <c r="G128" s="2">
        <f>IFERROR(ROUND(INDEX(Настройки!$B$3:$B$9,MATCH($C128,Настройки!$A$3:$A$9,0))*INDEX(Настройки!$E$3:$E$7,MATCH($F128,Настройки!$D$3:$D$7,0)),0),"")</f>
        <v>28</v>
      </c>
      <c r="H128" s="2" t="s">
        <v>315</v>
      </c>
      <c r="I128" s="2" t="s">
        <v>15</v>
      </c>
    </row>
    <row r="129" spans="1:9" x14ac:dyDescent="0.25">
      <c r="A129" s="2">
        <v>189</v>
      </c>
      <c r="B129" s="2" t="s">
        <v>73</v>
      </c>
      <c r="C129" s="2" t="s">
        <v>312</v>
      </c>
      <c r="D129" s="2" t="s">
        <v>316</v>
      </c>
      <c r="E129" s="2" t="s">
        <v>317</v>
      </c>
      <c r="F129" s="2" t="s">
        <v>108</v>
      </c>
      <c r="G129" s="2">
        <f>IFERROR(ROUND(INDEX(Настройки!$B$3:$B$9,MATCH($C129,Настройки!$A$3:$A$9,0))*INDEX(Настройки!$E$3:$E$7,MATCH($F129,Настройки!$D$3:$D$7,0)),0),"")</f>
        <v>21</v>
      </c>
      <c r="H129" s="2" t="s">
        <v>77</v>
      </c>
      <c r="I129" s="2" t="s">
        <v>15</v>
      </c>
    </row>
    <row r="130" spans="1:9" x14ac:dyDescent="0.25">
      <c r="A130" s="2">
        <v>190</v>
      </c>
      <c r="B130" s="2" t="s">
        <v>73</v>
      </c>
      <c r="C130" s="2" t="s">
        <v>312</v>
      </c>
      <c r="D130" s="2" t="s">
        <v>318</v>
      </c>
      <c r="E130" s="2" t="s">
        <v>319</v>
      </c>
      <c r="F130" s="2" t="s">
        <v>104</v>
      </c>
      <c r="G130" s="2">
        <f>IFERROR(ROUND(INDEX(Настройки!$B$3:$B$9,MATCH($C130,Настройки!$A$3:$A$9,0))*INDEX(Настройки!$E$3:$E$7,MATCH($F130,Настройки!$D$3:$D$7,0)),0),"")</f>
        <v>25</v>
      </c>
      <c r="H130" s="2" t="s">
        <v>320</v>
      </c>
      <c r="I130" s="2" t="s">
        <v>15</v>
      </c>
    </row>
    <row r="131" spans="1:9" x14ac:dyDescent="0.25">
      <c r="A131" s="2">
        <v>191</v>
      </c>
      <c r="B131" s="2" t="s">
        <v>81</v>
      </c>
      <c r="C131" s="2" t="s">
        <v>312</v>
      </c>
      <c r="D131" s="2" t="s">
        <v>321</v>
      </c>
      <c r="E131" s="2" t="s">
        <v>322</v>
      </c>
      <c r="F131" s="2" t="s">
        <v>104</v>
      </c>
      <c r="G131" s="2">
        <f>IFERROR(ROUND(INDEX(Настройки!$B$3:$B$9,MATCH($C131,Настройки!$A$3:$A$9,0))*INDEX(Настройки!$E$3:$E$7,MATCH($F131,Настройки!$D$3:$D$7,0)),0),"")</f>
        <v>25</v>
      </c>
      <c r="H131" s="2" t="s">
        <v>227</v>
      </c>
      <c r="I131" s="2" t="s">
        <v>15</v>
      </c>
    </row>
    <row r="132" spans="1:9" x14ac:dyDescent="0.25">
      <c r="A132" s="2">
        <v>192</v>
      </c>
      <c r="B132" s="2" t="s">
        <v>54</v>
      </c>
      <c r="C132" s="2" t="s">
        <v>312</v>
      </c>
      <c r="D132" s="2" t="s">
        <v>323</v>
      </c>
      <c r="E132" s="2" t="s">
        <v>324</v>
      </c>
      <c r="F132" s="2" t="s">
        <v>104</v>
      </c>
      <c r="G132" s="2">
        <f>IFERROR(ROUND(INDEX(Настройки!$B$3:$B$9,MATCH($C132,Настройки!$A$3:$A$9,0))*INDEX(Настройки!$E$3:$E$7,MATCH($F132,Настройки!$D$3:$D$7,0)),0),"")</f>
        <v>25</v>
      </c>
      <c r="H132" s="2" t="s">
        <v>230</v>
      </c>
      <c r="I132" s="2" t="s">
        <v>15</v>
      </c>
    </row>
    <row r="133" spans="1:9" x14ac:dyDescent="0.25">
      <c r="A133" s="2">
        <v>193</v>
      </c>
      <c r="B133" s="2" t="s">
        <v>55</v>
      </c>
      <c r="C133" s="2" t="s">
        <v>312</v>
      </c>
      <c r="D133" s="2" t="s">
        <v>325</v>
      </c>
      <c r="E133" s="2" t="s">
        <v>326</v>
      </c>
      <c r="F133" s="2" t="s">
        <v>104</v>
      </c>
      <c r="G133" s="2">
        <f>IFERROR(ROUND(INDEX(Настройки!$B$3:$B$9,MATCH($C133,Настройки!$A$3:$A$9,0))*INDEX(Настройки!$E$3:$E$7,MATCH($F133,Настройки!$D$3:$D$7,0)),0),"")</f>
        <v>25</v>
      </c>
      <c r="H133" s="2" t="s">
        <v>246</v>
      </c>
      <c r="I133" s="2" t="s">
        <v>15</v>
      </c>
    </row>
    <row r="134" spans="1:9" x14ac:dyDescent="0.25">
      <c r="A134" s="2">
        <v>194</v>
      </c>
      <c r="B134" s="2" t="s">
        <v>69</v>
      </c>
      <c r="C134" s="2" t="s">
        <v>312</v>
      </c>
      <c r="D134" s="2" t="s">
        <v>327</v>
      </c>
      <c r="E134" s="2" t="s">
        <v>328</v>
      </c>
      <c r="F134" s="2" t="s">
        <v>104</v>
      </c>
      <c r="G134" s="2">
        <f>IFERROR(ROUND(INDEX(Настройки!$B$3:$B$9,MATCH($C134,Настройки!$A$3:$A$9,0))*INDEX(Настройки!$E$3:$E$7,MATCH($F134,Настройки!$D$3:$D$7,0)),0),"")</f>
        <v>25</v>
      </c>
      <c r="H134" s="2" t="s">
        <v>72</v>
      </c>
      <c r="I134" s="2" t="s">
        <v>15</v>
      </c>
    </row>
    <row r="135" spans="1:9" x14ac:dyDescent="0.25">
      <c r="A135" s="2">
        <v>195</v>
      </c>
      <c r="B135" s="2" t="s">
        <v>69</v>
      </c>
      <c r="C135" s="2" t="s">
        <v>312</v>
      </c>
      <c r="D135" s="2" t="s">
        <v>329</v>
      </c>
      <c r="E135" s="2" t="s">
        <v>330</v>
      </c>
      <c r="F135" s="2" t="s">
        <v>104</v>
      </c>
      <c r="G135" s="2">
        <f>IFERROR(ROUND(INDEX(Настройки!$B$3:$B$9,MATCH($C135,Настройки!$A$3:$A$9,0))*INDEX(Настройки!$E$3:$E$7,MATCH($F135,Настройки!$D$3:$D$7,0)),0),"")</f>
        <v>25</v>
      </c>
      <c r="H135" s="2" t="s">
        <v>291</v>
      </c>
      <c r="I135" s="2" t="s">
        <v>15</v>
      </c>
    </row>
    <row r="136" spans="1:9" x14ac:dyDescent="0.25">
      <c r="A136" s="2">
        <v>196</v>
      </c>
      <c r="B136" s="2" t="s">
        <v>217</v>
      </c>
      <c r="C136" s="2" t="s">
        <v>312</v>
      </c>
      <c r="D136" s="2" t="s">
        <v>331</v>
      </c>
      <c r="E136" s="2" t="s">
        <v>332</v>
      </c>
      <c r="F136" s="2" t="s">
        <v>108</v>
      </c>
      <c r="G136" s="2">
        <f>IFERROR(ROUND(INDEX(Настройки!$B$3:$B$9,MATCH($C136,Настройки!$A$3:$A$9,0))*INDEX(Настройки!$E$3:$E$7,MATCH($F136,Настройки!$D$3:$D$7,0)),0),"")</f>
        <v>21</v>
      </c>
      <c r="H136" s="2" t="s">
        <v>253</v>
      </c>
      <c r="I136" s="2" t="s">
        <v>15</v>
      </c>
    </row>
    <row r="137" spans="1:9" x14ac:dyDescent="0.25">
      <c r="A137" s="2">
        <v>197</v>
      </c>
      <c r="B137" s="2" t="s">
        <v>293</v>
      </c>
      <c r="C137" s="2" t="s">
        <v>312</v>
      </c>
      <c r="D137" s="2" t="s">
        <v>333</v>
      </c>
      <c r="E137" s="2" t="s">
        <v>334</v>
      </c>
      <c r="F137" s="2" t="s">
        <v>108</v>
      </c>
      <c r="G137" s="2">
        <f>IFERROR(ROUND(INDEX(Настройки!$B$3:$B$9,MATCH($C137,Настройки!$A$3:$A$9,0))*INDEX(Настройки!$E$3:$E$7,MATCH($F137,Настройки!$D$3:$D$7,0)),0),"")</f>
        <v>21</v>
      </c>
      <c r="H137" s="2" t="s">
        <v>293</v>
      </c>
      <c r="I137" s="2" t="s">
        <v>15</v>
      </c>
    </row>
    <row r="138" spans="1:9" x14ac:dyDescent="0.25">
      <c r="A138" s="2">
        <v>198</v>
      </c>
      <c r="B138" s="2" t="s">
        <v>62</v>
      </c>
      <c r="C138" s="2" t="s">
        <v>312</v>
      </c>
      <c r="D138" s="2" t="s">
        <v>335</v>
      </c>
      <c r="E138" s="2" t="s">
        <v>297</v>
      </c>
      <c r="F138" s="2" t="s">
        <v>108</v>
      </c>
      <c r="G138" s="2">
        <f>IFERROR(ROUND(INDEX(Настройки!$B$3:$B$9,MATCH($C138,Настройки!$A$3:$A$9,0))*INDEX(Настройки!$E$3:$E$7,MATCH($F138,Настройки!$D$3:$D$7,0)),0),"")</f>
        <v>21</v>
      </c>
      <c r="H138" s="2" t="s">
        <v>98</v>
      </c>
      <c r="I138" s="2" t="s">
        <v>15</v>
      </c>
    </row>
    <row r="139" spans="1:9" x14ac:dyDescent="0.25">
      <c r="A139" s="2">
        <v>199</v>
      </c>
      <c r="B139" s="2" t="s">
        <v>41</v>
      </c>
      <c r="C139" s="2" t="s">
        <v>312</v>
      </c>
      <c r="D139" s="2" t="s">
        <v>336</v>
      </c>
      <c r="E139" s="2" t="s">
        <v>337</v>
      </c>
      <c r="F139" s="2" t="s">
        <v>276</v>
      </c>
      <c r="G139" s="2">
        <f>IFERROR(ROUND(INDEX(Настройки!$B$3:$B$9,MATCH($C139,Настройки!$A$3:$A$9,0))*INDEX(Настройки!$E$3:$E$7,MATCH($F139,Настройки!$D$3:$D$7,0)),0),"")</f>
        <v>18</v>
      </c>
      <c r="H139" s="2" t="s">
        <v>338</v>
      </c>
      <c r="I139" s="2" t="s">
        <v>15</v>
      </c>
    </row>
    <row r="140" spans="1:9" x14ac:dyDescent="0.25">
      <c r="A140" s="2">
        <v>201</v>
      </c>
      <c r="B140" s="2" t="s">
        <v>339</v>
      </c>
      <c r="C140" s="2" t="s">
        <v>340</v>
      </c>
      <c r="D140" s="2" t="s">
        <v>341</v>
      </c>
      <c r="E140" s="2" t="s">
        <v>342</v>
      </c>
      <c r="F140" s="2" t="s">
        <v>104</v>
      </c>
      <c r="G140" s="2">
        <f>IFERROR(ROUND(INDEX(Настройки!$B$3:$B$9,MATCH($C140,Настройки!$A$3:$A$9,0))*INDEX(Настройки!$E$3:$E$7,MATCH($F140,Настройки!$D$3:$D$7,0)),0),"")</f>
        <v>18</v>
      </c>
      <c r="H140" s="2" t="s">
        <v>343</v>
      </c>
      <c r="I140" s="2" t="s">
        <v>15</v>
      </c>
    </row>
    <row r="141" spans="1:9" x14ac:dyDescent="0.25">
      <c r="A141" s="2">
        <v>202</v>
      </c>
      <c r="B141" s="2" t="s">
        <v>73</v>
      </c>
      <c r="C141" s="2" t="s">
        <v>340</v>
      </c>
      <c r="D141" s="2" t="s">
        <v>344</v>
      </c>
      <c r="E141" s="2" t="s">
        <v>345</v>
      </c>
      <c r="F141" s="2" t="s">
        <v>276</v>
      </c>
      <c r="G141" s="2">
        <f>IFERROR(ROUND(INDEX(Настройки!$B$3:$B$9,MATCH($C141,Настройки!$A$3:$A$9,0))*INDEX(Настройки!$E$3:$E$7,MATCH($F141,Настройки!$D$3:$D$7,0)),0),"")</f>
        <v>13</v>
      </c>
      <c r="H141" s="2" t="s">
        <v>346</v>
      </c>
      <c r="I141" s="2" t="s">
        <v>15</v>
      </c>
    </row>
    <row r="142" spans="1:9" x14ac:dyDescent="0.25">
      <c r="A142" s="2">
        <v>203</v>
      </c>
      <c r="B142" s="2" t="s">
        <v>81</v>
      </c>
      <c r="C142" s="2" t="s">
        <v>340</v>
      </c>
      <c r="D142" s="2" t="s">
        <v>347</v>
      </c>
      <c r="E142" s="2" t="s">
        <v>348</v>
      </c>
      <c r="F142" s="2" t="s">
        <v>108</v>
      </c>
      <c r="G142" s="2">
        <f>IFERROR(ROUND(INDEX(Настройки!$B$3:$B$9,MATCH($C142,Настройки!$A$3:$A$9,0))*INDEX(Настройки!$E$3:$E$7,MATCH($F142,Настройки!$D$3:$D$7,0)),0),"")</f>
        <v>15</v>
      </c>
      <c r="H142" s="2" t="s">
        <v>227</v>
      </c>
      <c r="I142" s="2" t="s">
        <v>15</v>
      </c>
    </row>
    <row r="143" spans="1:9" x14ac:dyDescent="0.25">
      <c r="A143" s="2">
        <v>204</v>
      </c>
      <c r="B143" s="2" t="s">
        <v>54</v>
      </c>
      <c r="C143" s="2" t="s">
        <v>340</v>
      </c>
      <c r="D143" s="2" t="s">
        <v>349</v>
      </c>
      <c r="E143" s="2" t="s">
        <v>350</v>
      </c>
      <c r="F143" s="2" t="s">
        <v>108</v>
      </c>
      <c r="G143" s="2">
        <f>IFERROR(ROUND(INDEX(Настройки!$B$3:$B$9,MATCH($C143,Настройки!$A$3:$A$9,0))*INDEX(Настройки!$E$3:$E$7,MATCH($F143,Настройки!$D$3:$D$7,0)),0),"")</f>
        <v>15</v>
      </c>
      <c r="H143" s="2" t="s">
        <v>230</v>
      </c>
      <c r="I143" s="2" t="s">
        <v>15</v>
      </c>
    </row>
    <row r="144" spans="1:9" x14ac:dyDescent="0.25">
      <c r="A144" s="2">
        <v>205</v>
      </c>
      <c r="B144" s="2" t="s">
        <v>69</v>
      </c>
      <c r="C144" s="2" t="s">
        <v>340</v>
      </c>
      <c r="D144" s="2" t="s">
        <v>351</v>
      </c>
      <c r="E144" s="2" t="s">
        <v>352</v>
      </c>
      <c r="F144" s="2" t="s">
        <v>108</v>
      </c>
      <c r="G144" s="2">
        <f>IFERROR(ROUND(INDEX(Настройки!$B$3:$B$9,MATCH($C144,Настройки!$A$3:$A$9,0))*INDEX(Настройки!$E$3:$E$7,MATCH($F144,Настройки!$D$3:$D$7,0)),0),"")</f>
        <v>15</v>
      </c>
      <c r="H144" s="2" t="s">
        <v>300</v>
      </c>
      <c r="I144" s="2" t="s">
        <v>15</v>
      </c>
    </row>
    <row r="145" spans="1:9" x14ac:dyDescent="0.25">
      <c r="A145" s="2">
        <v>206</v>
      </c>
      <c r="B145" s="2" t="s">
        <v>353</v>
      </c>
      <c r="C145" s="2" t="s">
        <v>340</v>
      </c>
      <c r="D145" s="2" t="s">
        <v>354</v>
      </c>
      <c r="E145" s="2" t="s">
        <v>355</v>
      </c>
      <c r="F145" s="2" t="s">
        <v>276</v>
      </c>
      <c r="G145" s="2">
        <f>IFERROR(ROUND(INDEX(Настройки!$B$3:$B$9,MATCH($C145,Настройки!$A$3:$A$9,0))*INDEX(Настройки!$E$3:$E$7,MATCH($F145,Настройки!$D$3:$D$7,0)),0),"")</f>
        <v>13</v>
      </c>
      <c r="H145" s="2" t="s">
        <v>353</v>
      </c>
      <c r="I145" s="2" t="s">
        <v>15</v>
      </c>
    </row>
    <row r="146" spans="1:9" x14ac:dyDescent="0.25">
      <c r="A146" s="2">
        <v>208</v>
      </c>
      <c r="B146" s="2" t="s">
        <v>138</v>
      </c>
      <c r="C146" s="2" t="s">
        <v>340</v>
      </c>
      <c r="D146" s="2" t="s">
        <v>356</v>
      </c>
      <c r="E146" s="2" t="s">
        <v>357</v>
      </c>
      <c r="F146" s="2" t="s">
        <v>276</v>
      </c>
      <c r="G146" s="2">
        <f>IFERROR(ROUND(INDEX(Настройки!$B$3:$B$9,MATCH($C146,Настройки!$A$3:$A$9,0))*INDEX(Настройки!$E$3:$E$7,MATCH($F146,Настройки!$D$3:$D$7,0)),0),"")</f>
        <v>13</v>
      </c>
      <c r="H146" s="2" t="s">
        <v>358</v>
      </c>
      <c r="I146" s="2" t="s">
        <v>15</v>
      </c>
    </row>
    <row r="147" spans="1:9" x14ac:dyDescent="0.25">
      <c r="A147" s="2">
        <v>210</v>
      </c>
      <c r="B147" s="2" t="s">
        <v>62</v>
      </c>
      <c r="C147" s="2" t="s">
        <v>340</v>
      </c>
      <c r="D147" s="2" t="s">
        <v>359</v>
      </c>
      <c r="E147" s="2" t="s">
        <v>274</v>
      </c>
      <c r="F147" s="2" t="s">
        <v>276</v>
      </c>
      <c r="G147" s="2">
        <f>IFERROR(ROUND(INDEX(Настройки!$B$3:$B$9,MATCH($C147,Настройки!$A$3:$A$9,0))*INDEX(Настройки!$E$3:$E$7,MATCH($F147,Настройки!$D$3:$D$7,0)),0),"")</f>
        <v>13</v>
      </c>
      <c r="H147" s="2" t="s">
        <v>275</v>
      </c>
      <c r="I147" s="2" t="s">
        <v>15</v>
      </c>
    </row>
  </sheetData>
  <autoFilter ref="A1:I147" xr:uid="{00000000-0009-0000-0000-000000000000}"/>
  <conditionalFormatting sqref="C2:C436">
    <cfRule type="cellIs" dxfId="6" priority="1" operator="equal">
      <formula>"Обычная"</formula>
    </cfRule>
    <cfRule type="cellIs" dxfId="5" priority="2" operator="equal">
      <formula>"Редкая"</formula>
    </cfRule>
    <cfRule type="cellIs" dxfId="4" priority="3" operator="equal">
      <formula>"Уникальная"</formula>
    </cfRule>
    <cfRule type="cellIs" dxfId="3" priority="4" operator="equal">
      <formula>"Эпическая"</formula>
    </cfRule>
    <cfRule type="cellIs" dxfId="2" priority="5" operator="equal">
      <formula>"Древняя"</formula>
    </cfRule>
    <cfRule type="cellIs" dxfId="1" priority="6" operator="equal">
      <formula>"Первородная"</formula>
    </cfRule>
    <cfRule type="cellIs" dxfId="0" priority="7" operator="equal">
      <formula>"Вневременная"</formula>
    </cfRule>
  </conditionalFormatting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Настройки!$A$3:$A$9</xm:f>
          </x14:formula1>
          <xm:sqref>C2:C436</xm:sqref>
        </x14:dataValidation>
        <x14:dataValidation type="list" xr:uid="{00000000-0002-0000-0000-000001000000}">
          <x14:formula1>
            <xm:f>Настройки!$D$3:$D$7</xm:f>
          </x14:formula1>
          <xm:sqref>F2:F436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RowHeight="15" x14ac:dyDescent="0.25"/>
  <cols>
    <col min="1" max="1" width="22" customWidth="1"/>
    <col min="2" max="2" width="14" customWidth="1"/>
    <col min="3" max="3" width="3" customWidth="1"/>
    <col min="4" max="4" width="22" customWidth="1"/>
    <col min="5" max="5" width="12" customWidth="1"/>
  </cols>
  <sheetData>
    <row r="1" spans="1:5" x14ac:dyDescent="0.25">
      <c r="A1" s="3" t="s">
        <v>360</v>
      </c>
    </row>
    <row r="2" spans="1:5" x14ac:dyDescent="0.25">
      <c r="A2" s="4" t="s">
        <v>2</v>
      </c>
      <c r="B2" s="4" t="s">
        <v>361</v>
      </c>
      <c r="D2" s="4" t="s">
        <v>5</v>
      </c>
      <c r="E2" s="4" t="s">
        <v>362</v>
      </c>
    </row>
    <row r="3" spans="1:5" x14ac:dyDescent="0.25">
      <c r="A3" t="s">
        <v>10</v>
      </c>
      <c r="B3">
        <v>100</v>
      </c>
      <c r="D3" t="s">
        <v>13</v>
      </c>
      <c r="E3">
        <v>1.25</v>
      </c>
    </row>
    <row r="4" spans="1:5" x14ac:dyDescent="0.25">
      <c r="A4" t="s">
        <v>113</v>
      </c>
      <c r="B4">
        <v>75</v>
      </c>
      <c r="D4" t="s">
        <v>76</v>
      </c>
      <c r="E4">
        <v>1.1000000000000001</v>
      </c>
    </row>
    <row r="5" spans="1:5" x14ac:dyDescent="0.25">
      <c r="A5" t="s">
        <v>171</v>
      </c>
      <c r="B5">
        <v>58</v>
      </c>
      <c r="D5" t="s">
        <v>104</v>
      </c>
      <c r="E5">
        <v>1</v>
      </c>
    </row>
    <row r="6" spans="1:5" x14ac:dyDescent="0.25">
      <c r="A6" t="s">
        <v>236</v>
      </c>
      <c r="B6">
        <v>45</v>
      </c>
      <c r="D6" t="s">
        <v>108</v>
      </c>
      <c r="E6">
        <v>0.85</v>
      </c>
    </row>
    <row r="7" spans="1:5" x14ac:dyDescent="0.25">
      <c r="A7" t="s">
        <v>277</v>
      </c>
      <c r="B7">
        <v>33</v>
      </c>
      <c r="D7" t="s">
        <v>276</v>
      </c>
      <c r="E7">
        <v>0.7</v>
      </c>
    </row>
    <row r="8" spans="1:5" x14ac:dyDescent="0.25">
      <c r="A8" t="s">
        <v>312</v>
      </c>
      <c r="B8">
        <v>25</v>
      </c>
    </row>
    <row r="9" spans="1:5" x14ac:dyDescent="0.25">
      <c r="A9" t="s">
        <v>340</v>
      </c>
      <c r="B9">
        <v>18</v>
      </c>
    </row>
    <row r="12" spans="1:5" x14ac:dyDescent="0.25">
      <c r="A12" s="5" t="s">
        <v>363</v>
      </c>
    </row>
    <row r="13" spans="1:5" x14ac:dyDescent="0.25">
      <c r="A13" s="5" t="s">
        <v>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12" customWidth="1"/>
  </cols>
  <sheetData>
    <row r="1" spans="1:4" x14ac:dyDescent="0.25">
      <c r="A1" s="3" t="s">
        <v>365</v>
      </c>
    </row>
    <row r="3" spans="1:4" x14ac:dyDescent="0.25">
      <c r="A3" s="4" t="s">
        <v>2</v>
      </c>
      <c r="B3" s="4" t="s">
        <v>366</v>
      </c>
      <c r="C3" s="4" t="s">
        <v>367</v>
      </c>
      <c r="D3" s="4" t="s">
        <v>368</v>
      </c>
    </row>
    <row r="4" spans="1:4" x14ac:dyDescent="0.25">
      <c r="A4" t="s">
        <v>10</v>
      </c>
      <c r="B4">
        <f>COUNTIF('Пассивки Странника'!$C:$C,$A4)</f>
        <v>28</v>
      </c>
      <c r="C4">
        <f>SUMIF('Пассивки Странника'!$C:$C,$A4,'Пассивки Странника'!$G:$G)</f>
        <v>3235</v>
      </c>
      <c r="D4" s="6">
        <f t="shared" ref="D4:D10" si="0">IFERROR(B4/$B$11,0)</f>
        <v>0.19178082191780821</v>
      </c>
    </row>
    <row r="5" spans="1:4" x14ac:dyDescent="0.25">
      <c r="A5" t="s">
        <v>113</v>
      </c>
      <c r="B5">
        <f>COUNTIF('Пассивки Странника'!$C:$C,$A5)</f>
        <v>31</v>
      </c>
      <c r="C5">
        <f>SUMIF('Пассивки Странника'!$C:$C,$A5,'Пассивки Странника'!$G:$G)</f>
        <v>2393</v>
      </c>
      <c r="D5" s="6">
        <f t="shared" si="0"/>
        <v>0.21232876712328766</v>
      </c>
    </row>
    <row r="6" spans="1:4" x14ac:dyDescent="0.25">
      <c r="A6" t="s">
        <v>171</v>
      </c>
      <c r="B6">
        <f>COUNTIF('Пассивки Странника'!$C:$C,$A6)</f>
        <v>31</v>
      </c>
      <c r="C6">
        <f>SUMIF('Пассивки Странника'!$C:$C,$A6,'Пассивки Странника'!$G:$G)</f>
        <v>1711</v>
      </c>
      <c r="D6" s="6">
        <f t="shared" si="0"/>
        <v>0.21232876712328766</v>
      </c>
    </row>
    <row r="7" spans="1:4" x14ac:dyDescent="0.25">
      <c r="A7" t="s">
        <v>236</v>
      </c>
      <c r="B7">
        <f>COUNTIF('Пассивки Странника'!$C:$C,$A7)</f>
        <v>21</v>
      </c>
      <c r="C7">
        <f>SUMIF('Пассивки Странника'!$C:$C,$A7,'Пассивки Странника'!$G:$G)</f>
        <v>927</v>
      </c>
      <c r="D7" s="6">
        <f t="shared" si="0"/>
        <v>0.14383561643835616</v>
      </c>
    </row>
    <row r="8" spans="1:4" x14ac:dyDescent="0.25">
      <c r="A8" t="s">
        <v>277</v>
      </c>
      <c r="B8">
        <f>COUNTIF('Пассивки Странника'!$C:$C,$A8)</f>
        <v>14</v>
      </c>
      <c r="C8">
        <f>SUMIF('Пассивки Странника'!$C:$C,$A8,'Пассивки Странника'!$G:$G)</f>
        <v>395</v>
      </c>
      <c r="D8" s="6">
        <f t="shared" si="0"/>
        <v>9.5890410958904104E-2</v>
      </c>
    </row>
    <row r="9" spans="1:4" x14ac:dyDescent="0.25">
      <c r="A9" t="s">
        <v>312</v>
      </c>
      <c r="B9">
        <f>COUNTIF('Пассивки Странника'!$C:$C,$A9)</f>
        <v>13</v>
      </c>
      <c r="C9">
        <f>SUMIF('Пассивки Странника'!$C:$C,$A9,'Пассивки Странника'!$G:$G)</f>
        <v>298</v>
      </c>
      <c r="D9" s="6">
        <f t="shared" si="0"/>
        <v>8.9041095890410954E-2</v>
      </c>
    </row>
    <row r="10" spans="1:4" x14ac:dyDescent="0.25">
      <c r="A10" t="s">
        <v>340</v>
      </c>
      <c r="B10">
        <f>COUNTIF('Пассивки Странника'!$C:$C,$A10)</f>
        <v>8</v>
      </c>
      <c r="C10">
        <f>SUMIF('Пассивки Странника'!$C:$C,$A10,'Пассивки Странника'!$G:$G)</f>
        <v>115</v>
      </c>
      <c r="D10" s="6">
        <f t="shared" si="0"/>
        <v>5.4794520547945202E-2</v>
      </c>
    </row>
    <row r="11" spans="1:4" x14ac:dyDescent="0.25">
      <c r="A11" s="7" t="s">
        <v>369</v>
      </c>
      <c r="B11">
        <f>SUM(B4:B10)</f>
        <v>146</v>
      </c>
    </row>
    <row r="13" spans="1:4" x14ac:dyDescent="0.25">
      <c r="A13" s="5" t="s">
        <v>370</v>
      </c>
    </row>
    <row r="14" spans="1:4" x14ac:dyDescent="0.25">
      <c r="A14" s="5" t="s">
        <v>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4"/>
  <sheetViews>
    <sheetView workbookViewId="0"/>
  </sheetViews>
  <sheetFormatPr defaultRowHeight="15" x14ac:dyDescent="0.25"/>
  <cols>
    <col min="1" max="1" width="132" customWidth="1"/>
  </cols>
  <sheetData>
    <row r="1" spans="1:1" x14ac:dyDescent="0.25">
      <c r="A1" s="8" t="s">
        <v>372</v>
      </c>
    </row>
    <row r="2" spans="1:1" x14ac:dyDescent="0.25">
      <c r="A2" s="2"/>
    </row>
    <row r="3" spans="1:1" x14ac:dyDescent="0.25">
      <c r="A3" s="2" t="s">
        <v>373</v>
      </c>
    </row>
    <row r="4" spans="1:1" x14ac:dyDescent="0.25">
      <c r="A4" s="2"/>
    </row>
    <row r="5" spans="1:1" x14ac:dyDescent="0.25">
      <c r="A5" s="2" t="s">
        <v>374</v>
      </c>
    </row>
    <row r="6" spans="1:1" x14ac:dyDescent="0.25">
      <c r="A6" s="2" t="s">
        <v>375</v>
      </c>
    </row>
    <row r="7" spans="1:1" x14ac:dyDescent="0.25">
      <c r="A7" s="2"/>
    </row>
    <row r="8" spans="1:1" x14ac:dyDescent="0.25">
      <c r="A8" s="2" t="s">
        <v>376</v>
      </c>
    </row>
    <row r="9" spans="1:1" x14ac:dyDescent="0.25">
      <c r="A9" s="2" t="s">
        <v>377</v>
      </c>
    </row>
    <row r="10" spans="1:1" x14ac:dyDescent="0.25">
      <c r="A10" s="2" t="s">
        <v>378</v>
      </c>
    </row>
    <row r="11" spans="1:1" x14ac:dyDescent="0.25">
      <c r="A11" s="2" t="s">
        <v>379</v>
      </c>
    </row>
    <row r="12" spans="1:1" x14ac:dyDescent="0.25">
      <c r="A12" s="2" t="s">
        <v>380</v>
      </c>
    </row>
    <row r="13" spans="1:1" x14ac:dyDescent="0.25">
      <c r="A13" s="2" t="s">
        <v>381</v>
      </c>
    </row>
    <row r="14" spans="1:1" x14ac:dyDescent="0.25">
      <c r="A14" s="2" t="s">
        <v>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Пассивки Странника</vt:lpstr>
      <vt:lpstr>Настройки</vt:lpstr>
      <vt:lpstr>Сводка</vt:lpstr>
      <vt:lpstr>Правила пула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Enerium.Life</cp:lastModifiedBy>
  <dcterms:created xsi:type="dcterms:W3CDTF">2026-08-28T00:39:52Z</dcterms:created>
  <dcterms:modified xsi:type="dcterms:W3CDTF">2026-09-24T18:40:13Z</dcterms:modified>
</cp:coreProperties>
</file>